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Tracker" state="visible" r:id="rId4"/>
  </sheets>
  <calcPr calcId="171027"/>
</workbook>
</file>

<file path=xl/sharedStrings.xml><?xml version="1.0" encoding="utf-8"?>
<sst xmlns="http://schemas.openxmlformats.org/spreadsheetml/2006/main" count="129" uniqueCount="86">
  <si>
    <t xml:space="preserve">  VON SOLUTIONS — BUSINESS BUDGET TRACKER</t>
  </si>
  <si>
    <t xml:space="preserve">  MONTHLY RECURRING EXPENSES</t>
  </si>
  <si>
    <t>Category</t>
  </si>
  <si>
    <t>Tool / Service</t>
  </si>
  <si>
    <t>Plan / Notes</t>
  </si>
  <si>
    <t>Monthly Cost ($)</t>
  </si>
  <si>
    <t/>
  </si>
  <si>
    <t>AI Platform</t>
  </si>
  <si>
    <t>Claude Code</t>
  </si>
  <si>
    <t>Pro plan</t>
  </si>
  <si>
    <t>AI Voice</t>
  </si>
  <si>
    <t>Retell AI</t>
  </si>
  <si>
    <t>See Variable section below</t>
  </si>
  <si>
    <t>Database</t>
  </si>
  <si>
    <t>Supabase</t>
  </si>
  <si>
    <t>Free / Pro tier</t>
  </si>
  <si>
    <t>Compute</t>
  </si>
  <si>
    <t>Modal</t>
  </si>
  <si>
    <t>Per usage / serverless</t>
  </si>
  <si>
    <t>Email Delivery</t>
  </si>
  <si>
    <t>Resend</t>
  </si>
  <si>
    <t>Per 1,000 emails</t>
  </si>
  <si>
    <t>Code Hosting</t>
  </si>
  <si>
    <t>GitHub</t>
  </si>
  <si>
    <t>Free / Team</t>
  </si>
  <si>
    <t>Scheduling</t>
  </si>
  <si>
    <t>Calendly</t>
  </si>
  <si>
    <t>Standard plan</t>
  </si>
  <si>
    <t>Advertising</t>
  </si>
  <si>
    <t>Meta Ads</t>
  </si>
  <si>
    <t>Search / Maps</t>
  </si>
  <si>
    <t>Google (Ads / Places API)</t>
  </si>
  <si>
    <t>Usage-based</t>
  </si>
  <si>
    <t>Lead Scraping</t>
  </si>
  <si>
    <t>Scraper Tools</t>
  </si>
  <si>
    <t>TBD tool or service</t>
  </si>
  <si>
    <t>Social Automation</t>
  </si>
  <si>
    <t>Social Media AI</t>
  </si>
  <si>
    <t>Content scheduling &amp; posting</t>
  </si>
  <si>
    <t>Content Creation</t>
  </si>
  <si>
    <t>AI Content Tool</t>
  </si>
  <si>
    <t>Copy / image / video generation</t>
  </si>
  <si>
    <t>Print Marketing</t>
  </si>
  <si>
    <t>Brochures</t>
  </si>
  <si>
    <t>Monthly print run</t>
  </si>
  <si>
    <t>SUBTOTAL — Monthly Recurring</t>
  </si>
  <si>
    <t xml:space="preserve">  VARIABLE / USAGE-BASED EXPENSES</t>
  </si>
  <si>
    <t>Item</t>
  </si>
  <si>
    <t>Unit Rate ($)</t>
  </si>
  <si>
    <t>Est. Units / Month</t>
  </si>
  <si>
    <t>Monthly Total ($)</t>
  </si>
  <si>
    <t>Unit</t>
  </si>
  <si>
    <t>minutes</t>
  </si>
  <si>
    <t>Meta Ads Budget</t>
  </si>
  <si>
    <t>campaigns</t>
  </si>
  <si>
    <t>Scraper Tool (usage)</t>
  </si>
  <si>
    <t>searches/queries</t>
  </si>
  <si>
    <t>SUBTOTAL — Variable</t>
  </si>
  <si>
    <t xml:space="preserve">  ONE-TIME / SETUP COSTS</t>
  </si>
  <si>
    <t>Notes</t>
  </si>
  <si>
    <t>Amount ($)</t>
  </si>
  <si>
    <t>Brochures (initial run)</t>
  </si>
  <si>
    <t>First batch — setup cost</t>
  </si>
  <si>
    <t>Domain / Hosting setup</t>
  </si>
  <si>
    <t>Other setup costs</t>
  </si>
  <si>
    <t>SUBTOTAL — One-Time</t>
  </si>
  <si>
    <t xml:space="preserve">  INCOME SOURCES</t>
  </si>
  <si>
    <t>Source</t>
  </si>
  <si>
    <t>Package / Type</t>
  </si>
  <si>
    <t># Clients / Hours</t>
  </si>
  <si>
    <t>Monthly Est. ($)</t>
  </si>
  <si>
    <t>Von Solutions — ANSWER</t>
  </si>
  <si>
    <t>$500/mo per client</t>
  </si>
  <si>
    <t>Von Solutions — ANSWER+</t>
  </si>
  <si>
    <t>$1,200/mo per client</t>
  </si>
  <si>
    <t>Von Solutions — GROW</t>
  </si>
  <si>
    <t>$2,500/mo per client</t>
  </si>
  <si>
    <t>Bartending</t>
  </si>
  <si>
    <t>Hourly rate × hours</t>
  </si>
  <si>
    <t>Other Income</t>
  </si>
  <si>
    <t>SUBTOTAL — Income</t>
  </si>
  <si>
    <t xml:space="preserve">  NET MONTHLY SUMMARY</t>
  </si>
  <si>
    <t xml:space="preserve">  TOTAL MONTHLY EXPENSES</t>
  </si>
  <si>
    <t xml:space="preserve">  TOTAL MONTHLY INCOME</t>
  </si>
  <si>
    <t xml:space="preserve">  NET MONTHLY PROFIT / LOSS</t>
  </si>
  <si>
    <t xml:space="preserve">  Fill in grey/empty cells. Formulas auto-calculate totals. Retell AI &amp; agency rows multiply rate × quantity.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</si>
</sst>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.000"/>
  </numFmts>
  <fonts count="14" x14ac:knownFonts="1">
    <font>
      <color theme="1"/>
      <family val="2"/>
      <scheme val="minor"/>
      <sz val="11"/>
      <name val="Calibri"/>
    </font>
    <font>
      <b/>
      <color rgb="FFC9A84C"/>
      <sz val="16"/>
      <name val="Arial Black"/>
    </font>
    <font>
      <b/>
      <color rgb="FFC9A84C"/>
      <sz val="10"/>
      <name val="Arial"/>
    </font>
    <font>
      <b/>
      <color rgb="FFB0A898"/>
      <sz val="9"/>
      <name val="Arial"/>
    </font>
    <font>
      <color rgb="FFF5F0E8"/>
      <sz val="10"/>
      <name val="Arial"/>
    </font>
    <font>
      <color rgb="FF3A3830"/>
      <sz val="10"/>
      <name val="Arial"/>
    </font>
    <font>
      <b/>
      <color rgb="FFC9A84C"/>
      <sz val="11"/>
      <name val="Arial"/>
    </font>
    <font>
      <b/>
      <color rgb="FFFF6B6B"/>
      <sz val="12"/>
      <name val="Arial Black"/>
    </font>
    <font>
      <b/>
      <color rgb="FFFF6B6B"/>
      <sz val="13"/>
      <name val="Arial Black"/>
    </font>
    <font>
      <b/>
      <color rgb="FF4AE880"/>
      <sz val="12"/>
      <name val="Arial Black"/>
    </font>
    <font>
      <b/>
      <color rgb="FF4AE880"/>
      <sz val="13"/>
      <name val="Arial Black"/>
    </font>
    <font>
      <b/>
      <color rgb="FFC9A84C"/>
      <sz val="12"/>
      <name val="Arial Black"/>
    </font>
    <font>
      <b/>
      <color rgb="FFC9A84C"/>
      <sz val="14"/>
      <name val="Arial Black"/>
    </font>
    <font>
      <i/>
      <color rgb="FF4A4438"/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rgb="FF0A0A0F"/>
      </patternFill>
    </fill>
    <fill>
      <patternFill patternType="solid">
        <fgColor rgb="FF1A1A24"/>
      </patternFill>
    </fill>
    <fill>
      <patternFill patternType="solid">
        <fgColor rgb="FF2A2830"/>
      </patternFill>
    </fill>
    <fill>
      <patternFill patternType="solid">
        <fgColor rgb="0D200D"/>
      </patternFill>
    </fill>
    <fill>
      <patternFill patternType="solid">
        <fgColor rgb="FF2B2510"/>
      </patternFill>
    </fill>
    <fill>
      <patternFill patternType="solid">
        <fgColor rgb="FF0D2B1A"/>
      </patternFill>
    </fill>
    <fill>
      <patternFill patternType="solid">
        <fgColor rgb="0D2B1A"/>
      </patternFill>
    </fill>
    <fill>
      <patternFill patternType="solid">
        <fgColor rgb="FF2B0D0D"/>
      </patternFill>
    </fill>
  </fills>
  <borders count="8">
    <border>
      <left/>
      <right/>
      <top/>
      <bottom/>
      <diagonal/>
    </border>
    <border>
      <left style="medium">
        <color rgb="FFC9A84C"/>
      </left>
      <right/>
      <top/>
      <bottom/>
      <diagonal/>
    </border>
    <border>
      <left/>
      <right/>
      <top/>
      <bottom style="thin">
        <color rgb="FF3A3840"/>
      </bottom>
      <diagonal/>
    </border>
    <border>
      <left/>
      <right/>
      <top/>
      <bottom style="hair">
        <color rgb="FF2A2830"/>
      </bottom>
      <diagonal/>
    </border>
    <border>
      <left/>
      <right/>
      <top style="thin">
        <color rgb="FFC9A84C"/>
      </top>
      <bottom style="thin">
        <color rgb="FFC9A84C"/>
      </bottom>
      <diagonal/>
    </border>
    <border>
      <left/>
      <right/>
      <top style="medium">
        <color rgb="FFFF6B6B"/>
      </top>
      <bottom style="medium">
        <color rgb="FFFF6B6B"/>
      </bottom>
      <diagonal/>
    </border>
    <border>
      <left/>
      <right/>
      <top style="medium">
        <color rgb="FF4AE880"/>
      </top>
      <bottom style="medium">
        <color rgb="FF4AE880"/>
      </bottom>
      <diagonal/>
    </border>
    <border>
      <left/>
      <right/>
      <top style="medium">
        <color rgb="FFC9A84C"/>
      </top>
      <bottom style="medium">
        <color rgb="FFC9A84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left" vertical="center"/>
    </xf>
    <xf numFmtId="164" fontId="4" fillId="2" borderId="3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2" fillId="3" borderId="0" xfId="0" applyFont="1" applyFill="1" applyAlignment="1">
      <alignment vertical="center"/>
    </xf>
    <xf numFmtId="164" fontId="6" fillId="3" borderId="4" xfId="0" applyNumberFormat="1" applyFont="1" applyFill="1" applyBorder="1" applyAlignment="1">
      <alignment horizontal="right" vertical="center"/>
    </xf>
    <xf numFmtId="0" fontId="0" fillId="3" borderId="0" xfId="0" applyFill="1"/>
    <xf numFmtId="165" fontId="4" fillId="2" borderId="3" xfId="0" applyNumberFormat="1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64" fontId="4" fillId="2" borderId="3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164" fontId="4" fillId="6" borderId="3" xfId="0" applyNumberFormat="1" applyFont="1" applyFill="1" applyBorder="1" applyAlignment="1">
      <alignment horizontal="right"/>
    </xf>
    <xf numFmtId="0" fontId="5" fillId="6" borderId="3" xfId="0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164" fontId="4" fillId="7" borderId="3" xfId="0" applyNumberFormat="1" applyFont="1" applyFill="1" applyBorder="1" applyAlignment="1">
      <alignment horizontal="right"/>
    </xf>
    <xf numFmtId="0" fontId="5" fillId="7" borderId="3" xfId="0" applyFont="1" applyFill="1" applyBorder="1" applyAlignment="1">
      <alignment horizontal="right" vertical="center"/>
    </xf>
    <xf numFmtId="0" fontId="2" fillId="8" borderId="0" xfId="0" applyFont="1" applyFill="1" applyAlignment="1">
      <alignment vertical="center"/>
    </xf>
    <xf numFmtId="164" fontId="6" fillId="8" borderId="4" xfId="0" applyNumberFormat="1" applyFont="1" applyFill="1" applyBorder="1" applyAlignment="1">
      <alignment horizontal="right" vertical="center"/>
    </xf>
    <xf numFmtId="0" fontId="0" fillId="8" borderId="0" xfId="0" applyFill="1"/>
    <xf numFmtId="0" fontId="7" fillId="9" borderId="0" xfId="0" applyFont="1" applyFill="1" applyAlignment="1">
      <alignment vertical="center"/>
    </xf>
    <xf numFmtId="164" fontId="8" fillId="9" borderId="5" xfId="0" applyNumberFormat="1" applyFont="1" applyFill="1" applyBorder="1" applyAlignment="1">
      <alignment horizontal="right" vertical="center"/>
    </xf>
    <xf numFmtId="0" fontId="0" fillId="9" borderId="0" xfId="0" applyFill="1"/>
    <xf numFmtId="0" fontId="9" fillId="7" borderId="0" xfId="0" applyFont="1" applyFill="1" applyAlignment="1">
      <alignment vertical="center"/>
    </xf>
    <xf numFmtId="164" fontId="10" fillId="7" borderId="6" xfId="0" applyNumberFormat="1" applyFont="1" applyFill="1" applyBorder="1" applyAlignment="1">
      <alignment horizontal="right" vertical="center"/>
    </xf>
    <xf numFmtId="0" fontId="0" fillId="7" borderId="0" xfId="0" applyFill="1"/>
    <xf numFmtId="0" fontId="11" fillId="6" borderId="0" xfId="0" applyFont="1" applyFill="1" applyAlignment="1">
      <alignment vertical="center"/>
    </xf>
    <xf numFmtId="164" fontId="12" fillId="6" borderId="7" xfId="0" applyNumberFormat="1" applyFont="1" applyFill="1" applyBorder="1" applyAlignment="1">
      <alignment horizontal="right" vertical="center"/>
    </xf>
    <xf numFmtId="0" fontId="0" fillId="6" borderId="0" xfId="0" applyFill="1"/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84C"/>
    <pageSetUpPr fitToPage="1"/>
  </sheetPr>
  <dimension ref="A1:E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30" customWidth="1"/>
    <col min="4" max="5" width="18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8" customHeight="1" x14ac:dyDescent="0.25"/>
    <row r="3" ht="22" customHeight="1" spans="1:5" x14ac:dyDescent="0.25">
      <c r="A3" s="2" t="s">
        <v>1</v>
      </c>
      <c r="B3" s="2"/>
      <c r="C3" s="2"/>
      <c r="D3" s="2"/>
      <c r="E3" s="2"/>
    </row>
    <row r="4" ht="18" customHeight="1" spans="1:5" x14ac:dyDescent="0.25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</row>
    <row r="5" ht="18" customHeight="1" spans="1:4" x14ac:dyDescent="0.25">
      <c r="A5" s="5" t="s">
        <v>7</v>
      </c>
      <c r="B5" s="5" t="s">
        <v>8</v>
      </c>
      <c r="C5" s="5" t="s">
        <v>9</v>
      </c>
      <c r="D5" s="6">
        <v>20</v>
      </c>
    </row>
    <row r="6" ht="18" customHeight="1" spans="1:4" x14ac:dyDescent="0.25">
      <c r="A6" s="5" t="s">
        <v>10</v>
      </c>
      <c r="B6" s="5" t="s">
        <v>11</v>
      </c>
      <c r="C6" s="5" t="s">
        <v>12</v>
      </c>
      <c r="D6" s="7" t="s">
        <v>6</v>
      </c>
    </row>
    <row r="7" ht="18" customHeight="1" spans="1:4" x14ac:dyDescent="0.25">
      <c r="A7" s="5" t="s">
        <v>13</v>
      </c>
      <c r="B7" s="5" t="s">
        <v>14</v>
      </c>
      <c r="C7" s="5" t="s">
        <v>15</v>
      </c>
      <c r="D7" s="7" t="s">
        <v>6</v>
      </c>
    </row>
    <row r="8" ht="18" customHeight="1" spans="1:4" x14ac:dyDescent="0.25">
      <c r="A8" s="5" t="s">
        <v>16</v>
      </c>
      <c r="B8" s="5" t="s">
        <v>17</v>
      </c>
      <c r="C8" s="5" t="s">
        <v>18</v>
      </c>
      <c r="D8" s="7" t="s">
        <v>6</v>
      </c>
    </row>
    <row r="9" ht="18" customHeight="1" spans="1:4" x14ac:dyDescent="0.25">
      <c r="A9" s="5" t="s">
        <v>19</v>
      </c>
      <c r="B9" s="5" t="s">
        <v>20</v>
      </c>
      <c r="C9" s="5" t="s">
        <v>21</v>
      </c>
      <c r="D9" s="7" t="s">
        <v>6</v>
      </c>
    </row>
    <row r="10" ht="18" customHeight="1" spans="1:4" x14ac:dyDescent="0.25">
      <c r="A10" s="5" t="s">
        <v>22</v>
      </c>
      <c r="B10" s="5" t="s">
        <v>23</v>
      </c>
      <c r="C10" s="5" t="s">
        <v>24</v>
      </c>
      <c r="D10" s="7" t="s">
        <v>6</v>
      </c>
    </row>
    <row r="11" ht="18" customHeight="1" spans="1:4" x14ac:dyDescent="0.25">
      <c r="A11" s="5" t="s">
        <v>25</v>
      </c>
      <c r="B11" s="5" t="s">
        <v>26</v>
      </c>
      <c r="C11" s="5" t="s">
        <v>27</v>
      </c>
      <c r="D11" s="7" t="s">
        <v>6</v>
      </c>
    </row>
    <row r="12" ht="18" customHeight="1" spans="1:4" x14ac:dyDescent="0.25">
      <c r="A12" s="5" t="s">
        <v>28</v>
      </c>
      <c r="B12" s="5" t="s">
        <v>29</v>
      </c>
      <c r="C12" s="5" t="s">
        <v>12</v>
      </c>
      <c r="D12" s="7" t="s">
        <v>6</v>
      </c>
    </row>
    <row r="13" ht="18" customHeight="1" spans="1:4" x14ac:dyDescent="0.25">
      <c r="A13" s="5" t="s">
        <v>30</v>
      </c>
      <c r="B13" s="5" t="s">
        <v>31</v>
      </c>
      <c r="C13" s="5" t="s">
        <v>32</v>
      </c>
      <c r="D13" s="7" t="s">
        <v>6</v>
      </c>
    </row>
    <row r="14" ht="18" customHeight="1" spans="1:4" x14ac:dyDescent="0.25">
      <c r="A14" s="5" t="s">
        <v>33</v>
      </c>
      <c r="B14" s="5" t="s">
        <v>34</v>
      </c>
      <c r="C14" s="5" t="s">
        <v>35</v>
      </c>
      <c r="D14" s="7" t="s">
        <v>6</v>
      </c>
    </row>
    <row r="15" ht="18" customHeight="1" spans="1:4" x14ac:dyDescent="0.25">
      <c r="A15" s="5" t="s">
        <v>36</v>
      </c>
      <c r="B15" s="5" t="s">
        <v>37</v>
      </c>
      <c r="C15" s="5" t="s">
        <v>38</v>
      </c>
      <c r="D15" s="7" t="s">
        <v>6</v>
      </c>
    </row>
    <row r="16" ht="18" customHeight="1" spans="1:4" x14ac:dyDescent="0.25">
      <c r="A16" s="5" t="s">
        <v>39</v>
      </c>
      <c r="B16" s="5" t="s">
        <v>40</v>
      </c>
      <c r="C16" s="5" t="s">
        <v>41</v>
      </c>
      <c r="D16" s="7" t="s">
        <v>6</v>
      </c>
    </row>
    <row r="17" ht="18" customHeight="1" spans="1:4" x14ac:dyDescent="0.25">
      <c r="A17" s="5" t="s">
        <v>42</v>
      </c>
      <c r="B17" s="5" t="s">
        <v>43</v>
      </c>
      <c r="C17" s="5" t="s">
        <v>44</v>
      </c>
      <c r="D17" s="7" t="s">
        <v>6</v>
      </c>
    </row>
    <row r="18" ht="20" customHeight="1" spans="1:5" x14ac:dyDescent="0.25">
      <c r="A18" s="8" t="s">
        <v>45</v>
      </c>
      <c r="B18" s="8"/>
      <c r="C18" s="8"/>
      <c r="D18" s="9">
        <f>SUM(D5:D17)</f>
      </c>
      <c r="E18" s="10"/>
    </row>
    <row r="19" ht="8" customHeight="1" x14ac:dyDescent="0.25"/>
    <row r="20" ht="22" customHeight="1" spans="1:5" x14ac:dyDescent="0.25">
      <c r="A20" s="2" t="s">
        <v>46</v>
      </c>
      <c r="B20" s="2"/>
      <c r="C20" s="2"/>
      <c r="D20" s="2"/>
      <c r="E20" s="2"/>
    </row>
    <row r="21" ht="18" customHeight="1" spans="1:5" x14ac:dyDescent="0.25">
      <c r="A21" s="3" t="s">
        <v>47</v>
      </c>
      <c r="B21" s="3" t="s">
        <v>48</v>
      </c>
      <c r="C21" s="3" t="s">
        <v>49</v>
      </c>
      <c r="D21" s="4" t="s">
        <v>50</v>
      </c>
      <c r="E21" s="4" t="s">
        <v>51</v>
      </c>
    </row>
    <row r="22" ht="18" customHeight="1" spans="1:5" x14ac:dyDescent="0.25">
      <c r="A22" s="5" t="s">
        <v>11</v>
      </c>
      <c r="B22" s="11">
        <v>0.344</v>
      </c>
      <c r="C22" s="12" t="s">
        <v>6</v>
      </c>
      <c r="D22" s="13">
        <f>B22*C22</f>
      </c>
      <c r="E22" s="14" t="s">
        <v>52</v>
      </c>
    </row>
    <row r="23" ht="18" customHeight="1" spans="1:5" x14ac:dyDescent="0.25">
      <c r="A23" s="5" t="s">
        <v>53</v>
      </c>
      <c r="B23" s="12" t="s">
        <v>6</v>
      </c>
      <c r="C23" s="12" t="s">
        <v>6</v>
      </c>
      <c r="D23" s="7" t="s">
        <v>6</v>
      </c>
      <c r="E23" s="14" t="s">
        <v>54</v>
      </c>
    </row>
    <row r="24" ht="18" customHeight="1" spans="1:5" x14ac:dyDescent="0.25">
      <c r="A24" s="5" t="s">
        <v>55</v>
      </c>
      <c r="B24" s="12" t="s">
        <v>6</v>
      </c>
      <c r="C24" s="12" t="s">
        <v>6</v>
      </c>
      <c r="D24" s="7" t="s">
        <v>6</v>
      </c>
      <c r="E24" s="14" t="s">
        <v>56</v>
      </c>
    </row>
    <row r="25" ht="20" customHeight="1" spans="1:5" x14ac:dyDescent="0.25">
      <c r="A25" s="8" t="s">
        <v>57</v>
      </c>
      <c r="B25" s="8"/>
      <c r="C25" s="8"/>
      <c r="D25" s="9">
        <f>SUM(D22:D24)</f>
      </c>
      <c r="E25" s="10"/>
    </row>
    <row r="26" ht="8" customHeight="1" x14ac:dyDescent="0.25"/>
    <row r="27" ht="22" customHeight="1" spans="1:5" x14ac:dyDescent="0.25">
      <c r="A27" s="2" t="s">
        <v>58</v>
      </c>
      <c r="B27" s="2"/>
      <c r="C27" s="2"/>
      <c r="D27" s="2"/>
      <c r="E27" s="2"/>
    </row>
    <row r="28" ht="18" customHeight="1" spans="1:5" x14ac:dyDescent="0.25">
      <c r="A28" s="3" t="s">
        <v>47</v>
      </c>
      <c r="B28" s="3" t="s">
        <v>59</v>
      </c>
      <c r="C28" s="3" t="s">
        <v>6</v>
      </c>
      <c r="D28" s="4" t="s">
        <v>60</v>
      </c>
      <c r="E28" s="4" t="s">
        <v>6</v>
      </c>
    </row>
    <row r="29" ht="18" customHeight="1" spans="1:4" x14ac:dyDescent="0.25">
      <c r="A29" s="5" t="s">
        <v>61</v>
      </c>
      <c r="B29" s="5" t="s">
        <v>62</v>
      </c>
      <c r="C29" s="12" t="s">
        <v>6</v>
      </c>
      <c r="D29" s="6">
        <v>6.44</v>
      </c>
    </row>
    <row r="30" ht="18" customHeight="1" spans="1:4" x14ac:dyDescent="0.25">
      <c r="A30" s="5" t="s">
        <v>63</v>
      </c>
      <c r="B30" s="12" t="s">
        <v>6</v>
      </c>
      <c r="C30" s="12" t="s">
        <v>6</v>
      </c>
      <c r="D30" s="7" t="s">
        <v>6</v>
      </c>
    </row>
    <row r="31" ht="18" customHeight="1" spans="1:4" x14ac:dyDescent="0.25">
      <c r="A31" s="5" t="s">
        <v>64</v>
      </c>
      <c r="B31" s="12" t="s">
        <v>6</v>
      </c>
      <c r="C31" s="12" t="s">
        <v>6</v>
      </c>
      <c r="D31" s="7" t="s">
        <v>6</v>
      </c>
    </row>
    <row r="32" ht="20" customHeight="1" spans="1:5" x14ac:dyDescent="0.25">
      <c r="A32" s="8" t="s">
        <v>65</v>
      </c>
      <c r="B32" s="8"/>
      <c r="C32" s="8"/>
      <c r="D32" s="9">
        <f>SUM(D29:D31)</f>
      </c>
      <c r="E32" s="10"/>
    </row>
    <row r="33" ht="8" customHeight="1" x14ac:dyDescent="0.25"/>
    <row r="34" ht="22" customHeight="1" spans="1:5" x14ac:dyDescent="0.25">
      <c r="A34" s="15" t="s">
        <v>66</v>
      </c>
      <c r="B34" s="15"/>
      <c r="C34" s="15"/>
      <c r="D34" s="15"/>
      <c r="E34" s="15"/>
    </row>
    <row r="35" ht="18" customHeight="1" spans="1:5" x14ac:dyDescent="0.25">
      <c r="A35" s="3" t="s">
        <v>67</v>
      </c>
      <c r="B35" s="3" t="s">
        <v>68</v>
      </c>
      <c r="C35" s="3" t="s">
        <v>69</v>
      </c>
      <c r="D35" s="4" t="s">
        <v>70</v>
      </c>
      <c r="E35" s="4" t="s">
        <v>6</v>
      </c>
    </row>
    <row r="36" ht="18" customHeight="1" spans="1:5" x14ac:dyDescent="0.25">
      <c r="A36" s="16" t="s">
        <v>71</v>
      </c>
      <c r="B36" s="16" t="s">
        <v>72</v>
      </c>
      <c r="C36" s="17" t="s">
        <v>6</v>
      </c>
      <c r="D36" s="18">
        <f>500*C36</f>
      </c>
      <c r="E36" s="19" t="s">
        <v>6</v>
      </c>
    </row>
    <row r="37" ht="18" customHeight="1" spans="1:5" x14ac:dyDescent="0.25">
      <c r="A37" s="16" t="s">
        <v>73</v>
      </c>
      <c r="B37" s="16" t="s">
        <v>74</v>
      </c>
      <c r="C37" s="17" t="s">
        <v>6</v>
      </c>
      <c r="D37" s="18">
        <f>1200*C37</f>
      </c>
      <c r="E37" s="19" t="s">
        <v>6</v>
      </c>
    </row>
    <row r="38" ht="18" customHeight="1" spans="1:5" x14ac:dyDescent="0.25">
      <c r="A38" s="16" t="s">
        <v>75</v>
      </c>
      <c r="B38" s="16" t="s">
        <v>76</v>
      </c>
      <c r="C38" s="17" t="s">
        <v>6</v>
      </c>
      <c r="D38" s="18">
        <f>2500*C38</f>
      </c>
      <c r="E38" s="19" t="s">
        <v>6</v>
      </c>
    </row>
    <row r="39" ht="18" customHeight="1" spans="1:5" x14ac:dyDescent="0.25">
      <c r="A39" s="20" t="s">
        <v>77</v>
      </c>
      <c r="B39" s="20" t="s">
        <v>78</v>
      </c>
      <c r="C39" s="21" t="s">
        <v>6</v>
      </c>
      <c r="D39" s="22">
        <f>B39*C39</f>
      </c>
      <c r="E39" s="23" t="s">
        <v>6</v>
      </c>
    </row>
    <row r="40" ht="18" customHeight="1" spans="1:4" x14ac:dyDescent="0.25">
      <c r="A40" s="20" t="s">
        <v>79</v>
      </c>
      <c r="B40" s="21" t="s">
        <v>6</v>
      </c>
      <c r="C40" s="21" t="s">
        <v>6</v>
      </c>
      <c r="D40" s="23" t="s">
        <v>6</v>
      </c>
    </row>
    <row r="41" ht="20" customHeight="1" spans="1:5" x14ac:dyDescent="0.25">
      <c r="A41" s="24" t="s">
        <v>80</v>
      </c>
      <c r="B41" s="24"/>
      <c r="C41" s="24"/>
      <c r="D41" s="25">
        <f>SUM(D36:D40)</f>
      </c>
      <c r="E41" s="26"/>
    </row>
    <row r="42" ht="8" customHeight="1" x14ac:dyDescent="0.25"/>
    <row r="43" ht="8" customHeight="1" x14ac:dyDescent="0.25"/>
    <row r="44" ht="22" customHeight="1" spans="1:5" x14ac:dyDescent="0.25">
      <c r="A44" s="2" t="s">
        <v>81</v>
      </c>
      <c r="B44" s="2"/>
      <c r="C44" s="2"/>
      <c r="D44" s="2"/>
      <c r="E44" s="2"/>
    </row>
    <row r="45" ht="8" customHeight="1" x14ac:dyDescent="0.25"/>
    <row r="46" ht="28" customHeight="1" spans="1:5" x14ac:dyDescent="0.25">
      <c r="A46" s="27" t="s">
        <v>82</v>
      </c>
      <c r="B46" s="27"/>
      <c r="C46" s="27"/>
      <c r="D46" s="28">
        <f>D18+D25+D32</f>
      </c>
      <c r="E46" s="29"/>
    </row>
    <row r="47" ht="8" customHeight="1" x14ac:dyDescent="0.25"/>
    <row r="48" ht="28" customHeight="1" spans="1:5" x14ac:dyDescent="0.25">
      <c r="A48" s="30" t="s">
        <v>83</v>
      </c>
      <c r="B48" s="30"/>
      <c r="C48" s="30"/>
      <c r="D48" s="31">
        <f>D41</f>
      </c>
      <c r="E48" s="32"/>
    </row>
    <row r="49" ht="8" customHeight="1" x14ac:dyDescent="0.25"/>
    <row r="50" ht="28" customHeight="1" spans="1:5" x14ac:dyDescent="0.25">
      <c r="A50" s="33" t="s">
        <v>84</v>
      </c>
      <c r="B50" s="33"/>
      <c r="C50" s="33"/>
      <c r="D50" s="34">
        <f>D48-D46</f>
      </c>
      <c r="E50" s="35"/>
    </row>
    <row r="51" ht="8" customHeight="1" x14ac:dyDescent="0.25"/>
    <row r="52" ht="8" customHeight="1" x14ac:dyDescent="0.25"/>
    <row r="53" spans="1:5" x14ac:dyDescent="0.25">
      <c r="A53" s="36" t="s">
        <v>85</v>
      </c>
      <c r="B53" s="36"/>
      <c r="C53" s="36"/>
      <c r="D53" s="36"/>
      <c r="E53" s="36"/>
    </row>
  </sheetData>
  <mergeCells count="14">
    <mergeCell ref="A1:E1"/>
    <mergeCell ref="A3:E3"/>
    <mergeCell ref="A18:C18"/>
    <mergeCell ref="A20:E20"/>
    <mergeCell ref="A25:C25"/>
    <mergeCell ref="A27:E27"/>
    <mergeCell ref="A32:C32"/>
    <mergeCell ref="A34:E34"/>
    <mergeCell ref="A41:C41"/>
    <mergeCell ref="A44:E44"/>
    <mergeCell ref="A46:C46"/>
    <mergeCell ref="A48:C48"/>
    <mergeCell ref="A50:C50"/>
    <mergeCell ref="A53:E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Solutions</dc:creator>
  <dc:title/>
  <dc:subject/>
  <dc:description/>
  <cp:keywords/>
  <cp:category/>
  <cp:lastModifiedBy>Unknown</cp:lastModifiedBy>
  <dcterms:created xsi:type="dcterms:W3CDTF">2026-04-06T03:11:44Z</dcterms:created>
  <dcterms:modified xsi:type="dcterms:W3CDTF">2026-04-06T03:11:44Z</dcterms:modified>
</cp:coreProperties>
</file>