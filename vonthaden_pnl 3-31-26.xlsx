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rwi\my-agency\"/>
    </mc:Choice>
  </mc:AlternateContent>
  <xr:revisionPtr revIDLastSave="0" documentId="8_{C5C049E0-5D70-4FA0-8402-8A240D5CF59C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P&amp;L Summary" sheetId="1" r:id="rId1"/>
    <sheet name="Expense Notes &amp; Assumptions" sheetId="2" r:id="rId2"/>
    <sheet name="Revenue Ramp 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" i="3" l="1"/>
  <c r="M10" i="3" s="1"/>
  <c r="L8" i="3"/>
  <c r="L10" i="3" s="1"/>
  <c r="K8" i="3"/>
  <c r="K10" i="3" s="1"/>
  <c r="J8" i="3"/>
  <c r="J10" i="3" s="1"/>
  <c r="I8" i="3"/>
  <c r="I10" i="3" s="1"/>
  <c r="I12" i="3" s="1"/>
  <c r="H8" i="3"/>
  <c r="H10" i="3" s="1"/>
  <c r="G8" i="3"/>
  <c r="G10" i="3" s="1"/>
  <c r="F8" i="3"/>
  <c r="F10" i="3" s="1"/>
  <c r="E8" i="3"/>
  <c r="E10" i="3" s="1"/>
  <c r="D8" i="3"/>
  <c r="D10" i="3" s="1"/>
  <c r="D12" i="3" s="1"/>
  <c r="C8" i="3"/>
  <c r="C10" i="3" s="1"/>
  <c r="B8" i="3"/>
  <c r="B10" i="3" s="1"/>
  <c r="N7" i="3"/>
  <c r="N6" i="3"/>
  <c r="N5" i="3"/>
  <c r="M55" i="1"/>
  <c r="L55" i="1"/>
  <c r="K55" i="1"/>
  <c r="J55" i="1"/>
  <c r="I55" i="1"/>
  <c r="H55" i="1"/>
  <c r="G55" i="1"/>
  <c r="F55" i="1"/>
  <c r="E55" i="1"/>
  <c r="D55" i="1"/>
  <c r="C55" i="1"/>
  <c r="B55" i="1"/>
  <c r="N54" i="1"/>
  <c r="N53" i="1"/>
  <c r="N52" i="1"/>
  <c r="N51" i="1"/>
  <c r="N49" i="1"/>
  <c r="N48" i="1"/>
  <c r="N46" i="1"/>
  <c r="N45" i="1"/>
  <c r="N44" i="1"/>
  <c r="N43" i="1"/>
  <c r="N42" i="1"/>
  <c r="N41" i="1"/>
  <c r="N39" i="1"/>
  <c r="N38" i="1"/>
  <c r="N37" i="1"/>
  <c r="N36" i="1"/>
  <c r="N35" i="1"/>
  <c r="N33" i="1"/>
  <c r="N32" i="1"/>
  <c r="N31" i="1"/>
  <c r="N30" i="1"/>
  <c r="N29" i="1"/>
  <c r="N28" i="1"/>
  <c r="N27" i="1"/>
  <c r="N26" i="1"/>
  <c r="N55" i="1" s="1"/>
  <c r="J23" i="1"/>
  <c r="J56" i="1" s="1"/>
  <c r="C23" i="1"/>
  <c r="C56" i="1" s="1"/>
  <c r="M22" i="1"/>
  <c r="L22" i="1"/>
  <c r="L23" i="1" s="1"/>
  <c r="L56" i="1" s="1"/>
  <c r="L57" i="1" s="1"/>
  <c r="K22" i="1"/>
  <c r="K23" i="1" s="1"/>
  <c r="K56" i="1" s="1"/>
  <c r="J22" i="1"/>
  <c r="I22" i="1"/>
  <c r="H22" i="1"/>
  <c r="G22" i="1"/>
  <c r="F22" i="1"/>
  <c r="E22" i="1"/>
  <c r="E23" i="1" s="1"/>
  <c r="E56" i="1" s="1"/>
  <c r="D22" i="1"/>
  <c r="D23" i="1" s="1"/>
  <c r="D56" i="1" s="1"/>
  <c r="C22" i="1"/>
  <c r="B22" i="1"/>
  <c r="N21" i="1"/>
  <c r="N20" i="1"/>
  <c r="N19" i="1"/>
  <c r="N22" i="1" s="1"/>
  <c r="N18" i="1"/>
  <c r="N17" i="1"/>
  <c r="N16" i="1"/>
  <c r="N15" i="1"/>
  <c r="N14" i="1"/>
  <c r="M12" i="1"/>
  <c r="L12" i="1"/>
  <c r="K12" i="1"/>
  <c r="J12" i="1"/>
  <c r="J57" i="1" s="1"/>
  <c r="I12" i="1"/>
  <c r="I23" i="1" s="1"/>
  <c r="I56" i="1" s="1"/>
  <c r="H12" i="1"/>
  <c r="H23" i="1" s="1"/>
  <c r="H56" i="1" s="1"/>
  <c r="G12" i="1"/>
  <c r="G23" i="1" s="1"/>
  <c r="G56" i="1" s="1"/>
  <c r="G57" i="1" s="1"/>
  <c r="F12" i="1"/>
  <c r="F23" i="1" s="1"/>
  <c r="F56" i="1" s="1"/>
  <c r="F57" i="1" s="1"/>
  <c r="E12" i="1"/>
  <c r="E57" i="1" s="1"/>
  <c r="D12" i="1"/>
  <c r="D57" i="1" s="1"/>
  <c r="C12" i="1"/>
  <c r="C57" i="1" s="1"/>
  <c r="B12" i="1"/>
  <c r="B57" i="1" s="1"/>
  <c r="N11" i="1"/>
  <c r="N10" i="1"/>
  <c r="N9" i="1"/>
  <c r="N8" i="1"/>
  <c r="N7" i="1"/>
  <c r="N12" i="1" s="1"/>
  <c r="E12" i="3" l="1"/>
  <c r="H12" i="3"/>
  <c r="N10" i="3"/>
  <c r="B12" i="3"/>
  <c r="C12" i="3"/>
  <c r="F12" i="3"/>
  <c r="K57" i="1"/>
  <c r="J12" i="3"/>
  <c r="N23" i="1"/>
  <c r="N56" i="1" s="1"/>
  <c r="N57" i="1" s="1"/>
  <c r="G12" i="3"/>
  <c r="M57" i="1"/>
  <c r="K12" i="3"/>
  <c r="L12" i="3"/>
  <c r="M12" i="3"/>
  <c r="H57" i="1"/>
  <c r="M23" i="1"/>
  <c r="M56" i="1" s="1"/>
  <c r="I57" i="1"/>
  <c r="B23" i="1"/>
  <c r="B56" i="1" s="1"/>
  <c r="N12" i="3" l="1"/>
</calcChain>
</file>

<file path=xl/sharedStrings.xml><?xml version="1.0" encoding="utf-8"?>
<sst xmlns="http://schemas.openxmlformats.org/spreadsheetml/2006/main" count="199" uniqueCount="181">
  <si>
    <t>VONTHADEN SOLUTIONS</t>
  </si>
  <si>
    <t>Profit &amp; Loss Statement — Annual View</t>
  </si>
  <si>
    <t>Figures in USD | Blue = input | Black = formula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</si>
  <si>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</si>
  <si>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</si>
  <si>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</si>
  <si>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</si>
  <si>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</si>
  <si>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</si>
  <si>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</si>
  <si>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</si>
  <si>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</si>
  <si>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</si>
  <si>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</si>
  <si>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</si>
  <si>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</si>
  <si>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</si>
  <si>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REVENUE</t>
  </si>
  <si>
    <t>Starter Retainer ($300–500/mo)</t>
  </si>
  <si>
    <t>Pro Retainer ($700–1,000/mo)</t>
  </si>
  <si>
    <t>Elite Retainer ($1,200–1,500/mo)</t>
  </si>
  <si>
    <t>Setup / Onboarding Fees</t>
  </si>
  <si>
    <t>Meta Ads Mgmt (10% of ad spend)</t>
  </si>
  <si>
    <t>TOTAL REVENUE</t>
  </si>
  <si>
    <t>COST OF GOODS SOLD (Direct / Per-Client Costs)</t>
  </si>
  <si>
    <t>Retell AI — per-minute usage</t>
  </si>
  <si>
    <t>Modal compute (webhook hosting)</t>
  </si>
  <si>
    <t>Twilio (SMS/calls overflow)</t>
  </si>
  <si>
    <t>Supabase (DB hosting)</t>
  </si>
  <si>
    <t>Cal.com (scheduling)</t>
  </si>
  <si>
    <t>Resend (transactional email)</t>
  </si>
  <si>
    <t>Google Workspace (Sheets/Gmail)</t>
  </si>
  <si>
    <t>Meta Ads — client ad spend (pass-through)</t>
  </si>
  <si>
    <t>TOTAL COGS</t>
  </si>
  <si>
    <t>GROSS PROFIT</t>
  </si>
  <si>
    <t>OPERATING EXPENSES (Fixed &amp; Semi-Fixed)</t>
  </si>
  <si>
    <t>── SOFTWARE &amp; TOOLS ──</t>
  </si>
  <si>
    <t>Claude API (Anthropic)</t>
  </si>
  <si>
    <t>Retell AI platform fee (base)</t>
  </si>
  <si>
    <t>Cursor (AI coding IDE)</t>
  </si>
  <si>
    <t>Notion (docs/SOPs)</t>
  </si>
  <si>
    <t>GitHub (repo hosting)</t>
  </si>
  <si>
    <t>Zapier / Make (automations)</t>
  </si>
  <si>
    <t>Loom (client demos/onboarding)</t>
  </si>
  <si>
    <t>Domain(s) &amp; DNS (Cloudflare)</t>
  </si>
  <si>
    <t>── SALES &amp; MARKETING ──</t>
  </si>
  <si>
    <t>Business cards &amp; print materials</t>
  </si>
  <si>
    <t>In-person networking / meals</t>
  </si>
  <si>
    <t>Vonthaden Solutions website</t>
  </si>
  <si>
    <t>LinkedIn Premium</t>
  </si>
  <si>
    <t>Demo system hosting costs</t>
  </si>
  <si>
    <t>── LEGAL &amp; ADMIN ──</t>
  </si>
  <si>
    <t>FL LLC filing (sunbiz.org)</t>
  </si>
  <si>
    <t>FL Annual Report fee</t>
  </si>
  <si>
    <t>Business insurance (GL/E&amp;O)</t>
  </si>
  <si>
    <t>Service agreement template (1x)</t>
  </si>
  <si>
    <t>Accounting software (Wave/Xero)</t>
  </si>
  <si>
    <t>Bookkeeping (DIY → CPA consult)</t>
  </si>
  <si>
    <t>── OWNER COMPENSATION ──</t>
  </si>
  <si>
    <t>Owner draw / salary</t>
  </si>
  <si>
    <t>Health insurance (self-pay)</t>
  </si>
  <si>
    <t>── MISCELLANEOUS ──</t>
  </si>
  <si>
    <t>Phone bill (business portion 50%)</t>
  </si>
  <si>
    <t>Mileage / gas (client visits)</t>
  </si>
  <si>
    <t>Continuing education / courses</t>
  </si>
  <si>
    <t>Contingency / misc</t>
  </si>
  <si>
    <t>TOTAL OPERATING EXPENSES</t>
  </si>
  <si>
    <t>NET INCOME (LOSS)</t>
  </si>
  <si>
    <t>Net Margin %</t>
  </si>
  <si>
    <t>VONTHADEN SOLUTIONS — Expense Notes &amp; Assumptions</t>
  </si>
  <si>
    <t>Reference guide for P&amp;L line items</t>
  </si>
  <si>
    <t>Category</t>
  </si>
  <si>
    <t>Description / Notes</t>
  </si>
  <si>
    <t>Est. Monthly Cost</t>
  </si>
  <si>
    <t>Source / URL</t>
  </si>
  <si>
    <t>Retell AI</t>
  </si>
  <si>
    <t>Per-minute AI receptionist calls. $0.05–$0.10/min. Billed to COGS per client.</t>
  </si>
  <si>
    <t>~$5–130/mo</t>
  </si>
  <si>
    <t>retell.ai/pricing</t>
  </si>
  <si>
    <t>Modal</t>
  </si>
  <si>
    <t>Serverless Python webhook hosting. ~$0.0001/GB-sec. Negligible at low volume.</t>
  </si>
  <si>
    <t>$5–20/mo</t>
  </si>
  <si>
    <t>modal.com</t>
  </si>
  <si>
    <t>Supabase</t>
  </si>
  <si>
    <t>Postgres DB + auth. Free tier up to 500MB. Paid from ~2nd client onward.</t>
  </si>
  <si>
    <t>$0–25/mo</t>
  </si>
  <si>
    <t>supabase.com/pricing</t>
  </si>
  <si>
    <t>Twilio</t>
  </si>
  <si>
    <t>SMS &amp; call routing overflow. Pay-as-you-go. $0.0079/SMS, $0.013/min calls.</t>
  </si>
  <si>
    <t>twilio.com/pricing</t>
  </si>
  <si>
    <t>Cal.com</t>
  </si>
  <si>
    <t>Scheduling. Free for 1 user, $12/mo/user for team features.</t>
  </si>
  <si>
    <t>$0–12/mo</t>
  </si>
  <si>
    <t>cal.com/pricing</t>
  </si>
  <si>
    <t>Resend</t>
  </si>
  <si>
    <t>Transactional email. 3,000 emails/mo free, then $20/mo.</t>
  </si>
  <si>
    <t>$0–20/mo</t>
  </si>
  <si>
    <t>resend.com/pricing</t>
  </si>
  <si>
    <t>Google Workspace</t>
  </si>
  <si>
    <t>Gmail + Sheets CRM. $6/user/mo Business Starter.</t>
  </si>
  <si>
    <t>$6/mo</t>
  </si>
  <si>
    <t>workspace.google.com</t>
  </si>
  <si>
    <t>Claude API</t>
  </si>
  <si>
    <t>Anthropic API for automation logic &amp; AI features. Usage-based.</t>
  </si>
  <si>
    <t>$20–75/mo</t>
  </si>
  <si>
    <t>anthropic.com/pricing</t>
  </si>
  <si>
    <t>Cursor</t>
  </si>
  <si>
    <t>AI-powered coding IDE. $20/mo Pro plan.</t>
  </si>
  <si>
    <t>$20/mo</t>
  </si>
  <si>
    <t>cursor.com</t>
  </si>
  <si>
    <t>Notion</t>
  </si>
  <si>
    <t>Business SOPs, client wikis, project mgmt.</t>
  </si>
  <si>
    <t>$10/mo</t>
  </si>
  <si>
    <t>notion.so/pricing</t>
  </si>
  <si>
    <t>GitHub</t>
  </si>
  <si>
    <t>Code repo hosting. Free for private repos.</t>
  </si>
  <si>
    <t>$0</t>
  </si>
  <si>
    <t>github.com</t>
  </si>
  <si>
    <t>Zapier/Make</t>
  </si>
  <si>
    <t>No-code automation connectors. Make free up to 1k ops/mo.</t>
  </si>
  <si>
    <t>make.com/pricing</t>
  </si>
  <si>
    <t>Loom</t>
  </si>
  <si>
    <t>Async video for client onboarding &amp; demos. $15/mo Creator.</t>
  </si>
  <si>
    <t>$0–15/mo</t>
  </si>
  <si>
    <t>loom.com/pricing</t>
  </si>
  <si>
    <t>Domain &amp; DNS</t>
  </si>
  <si>
    <t>vonthaden.com or similar via Cloudflare/Namecheap. ~$12–20/yr.</t>
  </si>
  <si>
    <t>~$20/yr</t>
  </si>
  <si>
    <t>cloudflare.com</t>
  </si>
  <si>
    <t>Business: $40/mo. Essential for B2B prospecting in Tampa market.</t>
  </si>
  <si>
    <t>$40/mo</t>
  </si>
  <si>
    <t>linkedin.com/premium</t>
  </si>
  <si>
    <t>FL LLC Filing</t>
  </si>
  <si>
    <t>One-time sunbiz.org filing fee. Deferred until first client signed.</t>
  </si>
  <si>
    <t>$125 one-time</t>
  </si>
  <si>
    <t>sunbiz.org</t>
  </si>
  <si>
    <t>FL Annual Report</t>
  </si>
  <si>
    <t>Due every year by May 1st to maintain active LLC status.</t>
  </si>
  <si>
    <t>$138/yr</t>
  </si>
  <si>
    <t>dos.myflorida.com</t>
  </si>
  <si>
    <t>Business Insurance</t>
  </si>
  <si>
    <t>General Liability + E&amp;O (tech errors). Essential before client contracts.</t>
  </si>
  <si>
    <t>$75–100/mo</t>
  </si>
  <si>
    <t>coverwallet.com</t>
  </si>
  <si>
    <t>Service Agreement</t>
  </si>
  <si>
    <t>One-time attorney review of contract template. Rocket Lawyer or local atty.</t>
  </si>
  <si>
    <t>$150 one-time</t>
  </si>
  <si>
    <t>rocketlawyer.com</t>
  </si>
  <si>
    <t>Accounting (Wave)</t>
  </si>
  <si>
    <t>Wave is free. Upgrade to Xero or CPA consult at ~$2k ARR.</t>
  </si>
  <si>
    <t>waveapps.com</t>
  </si>
  <si>
    <t>Owner Draw</t>
  </si>
  <si>
    <t>No salary until sustainable. Ramp from $1k/mo at ~3-4 clients.</t>
  </si>
  <si>
    <t>$0–2,000/mo</t>
  </si>
  <si>
    <t>—</t>
  </si>
  <si>
    <t>Health Insurance</t>
  </si>
  <si>
    <t>FL marketplace or spouse coverage. Budget $300/mo self-pay.</t>
  </si>
  <si>
    <t>$0–300/mo</t>
  </si>
  <si>
    <t>healthcare.gov</t>
  </si>
  <si>
    <t>Meta Ads pass-through</t>
  </si>
  <si>
    <t>Client ad spend managed by you. 10% mgmt fee = revenue. Spend = COGS.</t>
  </si>
  <si>
    <t>Varies</t>
  </si>
  <si>
    <t>Mileage</t>
  </si>
  <si>
    <t>In-person Oldsmar/Tampa/Clearwater client visits. $0.67/mile IRS rate 2024.</t>
  </si>
  <si>
    <t>$30–60/mo</t>
  </si>
  <si>
    <t>irs.gov</t>
  </si>
  <si>
    <t>Courses</t>
  </si>
  <si>
    <t>Continued education: AI tools, sales, marketing. Budget quarterly.</t>
  </si>
  <si>
    <t>$100/quarter</t>
  </si>
  <si>
    <t>Revenue Ramp Assumptions</t>
  </si>
  <si>
    <t>Illustrative client growth trajectory — update blue cells to stress-test</t>
  </si>
  <si>
    <t>METRIC</t>
  </si>
  <si>
    <t>EOY Total</t>
  </si>
  <si>
    <t>Starter clients (#)</t>
  </si>
  <si>
    <t>Pro clients (#)</t>
  </si>
  <si>
    <t>Elite clients (#)</t>
  </si>
  <si>
    <t>Total clients (#)</t>
  </si>
  <si>
    <t>Avg MRR / client ($)</t>
  </si>
  <si>
    <t>Total MRR ($)</t>
  </si>
  <si>
    <t>Churn rate (% /mo)</t>
  </si>
  <si>
    <t>Net new MRR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</si>
</sst>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;\(0.0%\);\-"/>
    <numFmt numFmtId="166" formatCode="\$#,##0"/>
  </numFmts>
  <fonts count="18" x14ac:knownFonts="1">
    <font>
      <sz val="11"/>
      <color theme="1"/>
      <name val="Calibri"/>
      <family val="2"/>
      <charset val="1"/>
    </font>
    <font>
      <b/>
      <sz val="16"/>
      <color rgb="FF1F2D40"/>
      <name val="Arial"/>
      <family val="2"/>
    </font>
    <font>
      <sz val="11"/>
      <color rgb="FF2E4057"/>
      <name val="Arial"/>
      <family val="2"/>
    </font>
    <font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4A636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1"/>
      <color rgb="FFF4A636"/>
      <name val="Arial"/>
      <family val="2"/>
    </font>
    <font>
      <sz val="10"/>
      <color rgb="FF505050"/>
      <name val="Arial"/>
      <family val="2"/>
    </font>
    <font>
      <i/>
      <sz val="11"/>
      <color rgb="FF505050"/>
      <name val="Arial"/>
      <family val="2"/>
    </font>
    <font>
      <b/>
      <sz val="11"/>
      <color rgb="FF505050"/>
      <name val="Arial"/>
      <family val="2"/>
    </font>
    <font>
      <b/>
      <sz val="14"/>
      <color rgb="FF1F2D40"/>
      <name val="Arial"/>
      <family val="2"/>
    </font>
    <font>
      <sz val="10"/>
      <color rgb="FF0563C1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D40"/>
        <bgColor rgb="FF2E4057"/>
      </patternFill>
    </fill>
    <fill>
      <patternFill patternType="solid">
        <fgColor rgb="FF2E4057"/>
        <bgColor rgb="FF1F2D40"/>
      </patternFill>
    </fill>
    <fill>
      <patternFill patternType="solid">
        <fgColor rgb="FFEBF0F7"/>
        <bgColor rgb="FFFFFFFF"/>
      </patternFill>
    </fill>
    <fill>
      <patternFill patternType="solid">
        <fgColor rgb="FFFFFFFF"/>
        <bgColor rgb="FFEBF0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/>
      <top style="medium">
        <color rgb="FFF4A636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/>
    <xf numFmtId="0" fontId="7" fillId="4" borderId="1" xfId="0" applyFont="1" applyFill="1" applyBorder="1" applyAlignment="1">
      <alignment horizontal="left" vertical="center" indent="1"/>
    </xf>
    <xf numFmtId="164" fontId="8" fillId="4" borderId="1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7" fillId="5" borderId="1" xfId="0" applyFont="1" applyFill="1" applyBorder="1" applyAlignment="1">
      <alignment horizontal="left" vertical="center" indent="1"/>
    </xf>
    <xf numFmtId="164" fontId="8" fillId="5" borderId="1" xfId="0" applyNumberFormat="1" applyFont="1" applyFill="1" applyBorder="1" applyAlignment="1">
      <alignment horizontal="right"/>
    </xf>
    <xf numFmtId="0" fontId="9" fillId="4" borderId="2" xfId="0" applyFont="1" applyFill="1" applyBorder="1" applyAlignment="1">
      <alignment horizontal="left" vertical="center"/>
    </xf>
    <xf numFmtId="164" fontId="9" fillId="4" borderId="2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right"/>
    </xf>
    <xf numFmtId="0" fontId="6" fillId="3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horizontal="right"/>
    </xf>
    <xf numFmtId="0" fontId="11" fillId="4" borderId="0" xfId="0" applyFont="1" applyFill="1" applyAlignment="1">
      <alignment horizontal="left" vertical="center"/>
    </xf>
    <xf numFmtId="165" fontId="12" fillId="4" borderId="0" xfId="0" applyNumberFormat="1" applyFont="1" applyFill="1" applyAlignment="1">
      <alignment horizontal="right"/>
    </xf>
    <xf numFmtId="165" fontId="13" fillId="4" borderId="0" xfId="0" applyNumberFormat="1" applyFont="1" applyFill="1" applyAlignment="1">
      <alignment horizontal="right"/>
    </xf>
    <xf numFmtId="0" fontId="1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wrapText="1"/>
    </xf>
    <xf numFmtId="0" fontId="7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wrapText="1"/>
    </xf>
    <xf numFmtId="0" fontId="7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3" fontId="16" fillId="4" borderId="1" xfId="0" applyNumberFormat="1" applyFont="1" applyFill="1" applyBorder="1" applyAlignment="1">
      <alignment horizontal="right"/>
    </xf>
    <xf numFmtId="166" fontId="17" fillId="4" borderId="1" xfId="0" applyNumberFormat="1" applyFont="1" applyFill="1" applyBorder="1" applyAlignment="1">
      <alignment horizontal="right"/>
    </xf>
    <xf numFmtId="3" fontId="16" fillId="5" borderId="1" xfId="0" applyNumberFormat="1" applyFont="1" applyFill="1" applyBorder="1" applyAlignment="1">
      <alignment horizontal="right"/>
    </xf>
    <xf numFmtId="166" fontId="17" fillId="5" borderId="1" xfId="0" applyNumberFormat="1" applyFont="1" applyFill="1" applyBorder="1" applyAlignment="1">
      <alignment horizontal="right"/>
    </xf>
    <xf numFmtId="3" fontId="17" fillId="5" borderId="1" xfId="0" applyNumberFormat="1" applyFont="1" applyFill="1" applyBorder="1" applyAlignment="1">
      <alignment horizontal="right"/>
    </xf>
    <xf numFmtId="166" fontId="16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636"/>
      <rgbColor rgb="FFFF6600"/>
      <rgbColor rgb="FF505050"/>
      <rgbColor rgb="FF969696"/>
      <rgbColor rgb="FF003366"/>
      <rgbColor rgb="FF339966"/>
      <rgbColor rgb="FF003300"/>
      <rgbColor rgb="FF333300"/>
      <rgbColor rgb="FF993300"/>
      <rgbColor rgb="FF993366"/>
      <rgbColor rgb="FF2E4057"/>
      <rgbColor rgb="FF1F2D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32" customWidth="1"/>
    <col min="2" max="13" width="13" customWidth="1"/>
    <col min="14" max="14" width="14" customWidth="1"/>
  </cols>
  <sheetData>
    <row r="1" spans="1:14" ht="20" x14ac:dyDescent="0.35">
      <c r="A1" s="1" t="s">
        <v>0</v>
      </c>
    </row>
    <row r="2" spans="1:14" x14ac:dyDescent="0.35">
      <c r="A2" s="2" t="s">
        <v>1</v>
      </c>
    </row>
    <row r="3" spans="1:14" x14ac:dyDescent="0.35">
      <c r="A3" s="3" t="s">
        <v>2</v>
      </c>
    </row>
    <row r="5" spans="1:14" x14ac:dyDescent="0.3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6" t="s">
        <v>16</v>
      </c>
    </row>
    <row r="6" spans="1:14" x14ac:dyDescent="0.35">
      <c r="A6" s="7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35">
      <c r="A7" s="9" t="s">
        <v>18</v>
      </c>
      <c r="B7" s="10">
        <v>0</v>
      </c>
      <c r="C7" s="10">
        <v>0</v>
      </c>
      <c r="D7" s="10">
        <v>400</v>
      </c>
      <c r="E7" s="10">
        <v>400</v>
      </c>
      <c r="F7" s="10">
        <v>400</v>
      </c>
      <c r="G7" s="10">
        <v>800</v>
      </c>
      <c r="H7" s="10">
        <v>800</v>
      </c>
      <c r="I7" s="10">
        <v>800</v>
      </c>
      <c r="J7" s="10">
        <v>1200</v>
      </c>
      <c r="K7" s="10">
        <v>1200</v>
      </c>
      <c r="L7" s="10">
        <v>1200</v>
      </c>
      <c r="M7" s="10">
        <v>1600</v>
      </c>
      <c r="N7" s="11">
        <f>SUM(B7:M7)</f>
        <v>8800</v>
      </c>
    </row>
    <row r="8" spans="1:14" x14ac:dyDescent="0.35">
      <c r="A8" s="12" t="s">
        <v>19</v>
      </c>
      <c r="B8" s="13">
        <v>0</v>
      </c>
      <c r="C8" s="13">
        <v>0</v>
      </c>
      <c r="D8" s="13">
        <v>0</v>
      </c>
      <c r="E8" s="13">
        <v>0</v>
      </c>
      <c r="F8" s="13">
        <v>850</v>
      </c>
      <c r="G8" s="13">
        <v>850</v>
      </c>
      <c r="H8" s="13">
        <v>850</v>
      </c>
      <c r="I8" s="13">
        <v>1700</v>
      </c>
      <c r="J8" s="13">
        <v>1700</v>
      </c>
      <c r="K8" s="13">
        <v>1700</v>
      </c>
      <c r="L8" s="13">
        <v>2550</v>
      </c>
      <c r="M8" s="13">
        <v>2550</v>
      </c>
      <c r="N8" s="11">
        <f>SUM(B8:M8)</f>
        <v>12750</v>
      </c>
    </row>
    <row r="9" spans="1:14" x14ac:dyDescent="0.35">
      <c r="A9" s="9" t="s">
        <v>20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1350</v>
      </c>
      <c r="I9" s="10">
        <v>1350</v>
      </c>
      <c r="J9" s="10">
        <v>1350</v>
      </c>
      <c r="K9" s="10">
        <v>2700</v>
      </c>
      <c r="L9" s="10">
        <v>2700</v>
      </c>
      <c r="M9" s="10">
        <v>2700</v>
      </c>
      <c r="N9" s="11">
        <f>SUM(B9:M9)</f>
        <v>12150</v>
      </c>
    </row>
    <row r="10" spans="1:14" x14ac:dyDescent="0.35">
      <c r="A10" s="12" t="s">
        <v>21</v>
      </c>
      <c r="B10" s="13">
        <v>0</v>
      </c>
      <c r="C10" s="13">
        <v>0</v>
      </c>
      <c r="D10" s="13">
        <v>500</v>
      </c>
      <c r="E10" s="13">
        <v>0</v>
      </c>
      <c r="F10" s="13">
        <v>500</v>
      </c>
      <c r="G10" s="13">
        <v>0</v>
      </c>
      <c r="H10" s="13">
        <v>500</v>
      </c>
      <c r="I10" s="13">
        <v>0</v>
      </c>
      <c r="J10" s="13">
        <v>500</v>
      </c>
      <c r="K10" s="13">
        <v>0</v>
      </c>
      <c r="L10" s="13">
        <v>500</v>
      </c>
      <c r="M10" s="13">
        <v>0</v>
      </c>
      <c r="N10" s="11">
        <f>SUM(B10:M10)</f>
        <v>2500</v>
      </c>
    </row>
    <row r="11" spans="1:14" x14ac:dyDescent="0.35">
      <c r="A11" s="9" t="s">
        <v>22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300</v>
      </c>
      <c r="H11" s="10">
        <v>300</v>
      </c>
      <c r="I11" s="10">
        <v>600</v>
      </c>
      <c r="J11" s="10">
        <v>600</v>
      </c>
      <c r="K11" s="10">
        <v>600</v>
      </c>
      <c r="L11" s="10">
        <v>900</v>
      </c>
      <c r="M11" s="10">
        <v>900</v>
      </c>
      <c r="N11" s="11">
        <f>SUM(B11:M11)</f>
        <v>4200</v>
      </c>
    </row>
    <row r="12" spans="1:14" x14ac:dyDescent="0.35">
      <c r="A12" s="14" t="s">
        <v>23</v>
      </c>
      <c r="B12" s="15">
        <f t="shared" ref="B12:N12" si="0">SUM(B7:B11)</f>
        <v>0</v>
      </c>
      <c r="C12" s="15">
        <f t="shared" si="0"/>
        <v>0</v>
      </c>
      <c r="D12" s="15">
        <f t="shared" si="0"/>
        <v>900</v>
      </c>
      <c r="E12" s="15">
        <f t="shared" si="0"/>
        <v>400</v>
      </c>
      <c r="F12" s="15">
        <f t="shared" si="0"/>
        <v>1750</v>
      </c>
      <c r="G12" s="15">
        <f t="shared" si="0"/>
        <v>1950</v>
      </c>
      <c r="H12" s="15">
        <f t="shared" si="0"/>
        <v>3800</v>
      </c>
      <c r="I12" s="15">
        <f t="shared" si="0"/>
        <v>4450</v>
      </c>
      <c r="J12" s="15">
        <f t="shared" si="0"/>
        <v>5350</v>
      </c>
      <c r="K12" s="15">
        <f t="shared" si="0"/>
        <v>6200</v>
      </c>
      <c r="L12" s="15">
        <f t="shared" si="0"/>
        <v>7850</v>
      </c>
      <c r="M12" s="15">
        <f t="shared" si="0"/>
        <v>7750</v>
      </c>
      <c r="N12" s="15">
        <f t="shared" si="0"/>
        <v>40400</v>
      </c>
    </row>
    <row r="13" spans="1:14" x14ac:dyDescent="0.35">
      <c r="A13" s="7" t="s">
        <v>24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35">
      <c r="A14" s="9" t="s">
        <v>25</v>
      </c>
      <c r="B14" s="10">
        <v>0</v>
      </c>
      <c r="C14" s="10">
        <v>5</v>
      </c>
      <c r="D14" s="10">
        <v>15</v>
      </c>
      <c r="E14" s="10">
        <v>20</v>
      </c>
      <c r="F14" s="10">
        <v>25</v>
      </c>
      <c r="G14" s="10">
        <v>40</v>
      </c>
      <c r="H14" s="10">
        <v>55</v>
      </c>
      <c r="I14" s="10">
        <v>70</v>
      </c>
      <c r="J14" s="10">
        <v>85</v>
      </c>
      <c r="K14" s="10">
        <v>100</v>
      </c>
      <c r="L14" s="10">
        <v>115</v>
      </c>
      <c r="M14" s="10">
        <v>130</v>
      </c>
      <c r="N14" s="11">
        <f t="shared" ref="N14:N21" si="1">SUM(B14:M14)</f>
        <v>660</v>
      </c>
    </row>
    <row r="15" spans="1:14" x14ac:dyDescent="0.35">
      <c r="A15" s="12" t="s">
        <v>26</v>
      </c>
      <c r="B15" s="13">
        <v>5</v>
      </c>
      <c r="C15" s="13">
        <v>5</v>
      </c>
      <c r="D15" s="13">
        <v>5</v>
      </c>
      <c r="E15" s="13">
        <v>5</v>
      </c>
      <c r="F15" s="13">
        <v>5</v>
      </c>
      <c r="G15" s="13">
        <v>10</v>
      </c>
      <c r="H15" s="13">
        <v>10</v>
      </c>
      <c r="I15" s="13">
        <v>10</v>
      </c>
      <c r="J15" s="13">
        <v>15</v>
      </c>
      <c r="K15" s="13">
        <v>15</v>
      </c>
      <c r="L15" s="13">
        <v>15</v>
      </c>
      <c r="M15" s="13">
        <v>20</v>
      </c>
      <c r="N15" s="11">
        <f t="shared" si="1"/>
        <v>120</v>
      </c>
    </row>
    <row r="16" spans="1:14" x14ac:dyDescent="0.35">
      <c r="A16" s="9" t="s">
        <v>27</v>
      </c>
      <c r="B16" s="10">
        <v>0</v>
      </c>
      <c r="C16" s="10">
        <v>0</v>
      </c>
      <c r="D16" s="10">
        <v>5</v>
      </c>
      <c r="E16" s="10">
        <v>5</v>
      </c>
      <c r="F16" s="10">
        <v>10</v>
      </c>
      <c r="G16" s="10">
        <v>10</v>
      </c>
      <c r="H16" s="10">
        <v>15</v>
      </c>
      <c r="I16" s="10">
        <v>15</v>
      </c>
      <c r="J16" s="10">
        <v>20</v>
      </c>
      <c r="K16" s="10">
        <v>20</v>
      </c>
      <c r="L16" s="10">
        <v>25</v>
      </c>
      <c r="M16" s="10">
        <v>25</v>
      </c>
      <c r="N16" s="11">
        <f t="shared" si="1"/>
        <v>150</v>
      </c>
    </row>
    <row r="17" spans="1:14" x14ac:dyDescent="0.35">
      <c r="A17" s="12" t="s">
        <v>28</v>
      </c>
      <c r="B17" s="13">
        <v>0</v>
      </c>
      <c r="C17" s="13">
        <v>0</v>
      </c>
      <c r="D17" s="13">
        <v>25</v>
      </c>
      <c r="E17" s="13">
        <v>25</v>
      </c>
      <c r="F17" s="13">
        <v>25</v>
      </c>
      <c r="G17" s="13">
        <v>25</v>
      </c>
      <c r="H17" s="13">
        <v>25</v>
      </c>
      <c r="I17" s="13">
        <v>25</v>
      </c>
      <c r="J17" s="13">
        <v>25</v>
      </c>
      <c r="K17" s="13">
        <v>25</v>
      </c>
      <c r="L17" s="13">
        <v>25</v>
      </c>
      <c r="M17" s="13">
        <v>25</v>
      </c>
      <c r="N17" s="11">
        <f t="shared" si="1"/>
        <v>250</v>
      </c>
    </row>
    <row r="18" spans="1:14" x14ac:dyDescent="0.35">
      <c r="A18" s="9" t="s">
        <v>29</v>
      </c>
      <c r="B18" s="10">
        <v>0</v>
      </c>
      <c r="C18" s="10">
        <v>0</v>
      </c>
      <c r="D18" s="10">
        <v>12</v>
      </c>
      <c r="E18" s="10">
        <v>12</v>
      </c>
      <c r="F18" s="10">
        <v>12</v>
      </c>
      <c r="G18" s="10">
        <v>12</v>
      </c>
      <c r="H18" s="10">
        <v>12</v>
      </c>
      <c r="I18" s="10">
        <v>12</v>
      </c>
      <c r="J18" s="10">
        <v>12</v>
      </c>
      <c r="K18" s="10">
        <v>12</v>
      </c>
      <c r="L18" s="10">
        <v>12</v>
      </c>
      <c r="M18" s="10">
        <v>12</v>
      </c>
      <c r="N18" s="11">
        <f t="shared" si="1"/>
        <v>120</v>
      </c>
    </row>
    <row r="19" spans="1:14" x14ac:dyDescent="0.35">
      <c r="A19" s="12" t="s">
        <v>30</v>
      </c>
      <c r="B19" s="13">
        <v>0</v>
      </c>
      <c r="C19" s="13">
        <v>0</v>
      </c>
      <c r="D19" s="13">
        <v>0</v>
      </c>
      <c r="E19" s="13">
        <v>0</v>
      </c>
      <c r="F19" s="13">
        <v>20</v>
      </c>
      <c r="G19" s="13">
        <v>20</v>
      </c>
      <c r="H19" s="13">
        <v>20</v>
      </c>
      <c r="I19" s="13">
        <v>20</v>
      </c>
      <c r="J19" s="13">
        <v>20</v>
      </c>
      <c r="K19" s="13">
        <v>20</v>
      </c>
      <c r="L19" s="13">
        <v>20</v>
      </c>
      <c r="M19" s="13">
        <v>20</v>
      </c>
      <c r="N19" s="11">
        <f t="shared" si="1"/>
        <v>160</v>
      </c>
    </row>
    <row r="20" spans="1:14" x14ac:dyDescent="0.35">
      <c r="A20" s="9" t="s">
        <v>31</v>
      </c>
      <c r="B20" s="10">
        <v>6</v>
      </c>
      <c r="C20" s="10">
        <v>6</v>
      </c>
      <c r="D20" s="10">
        <v>6</v>
      </c>
      <c r="E20" s="10">
        <v>6</v>
      </c>
      <c r="F20" s="10">
        <v>6</v>
      </c>
      <c r="G20" s="10">
        <v>6</v>
      </c>
      <c r="H20" s="10">
        <v>6</v>
      </c>
      <c r="I20" s="10">
        <v>6</v>
      </c>
      <c r="J20" s="10">
        <v>6</v>
      </c>
      <c r="K20" s="10">
        <v>6</v>
      </c>
      <c r="L20" s="10">
        <v>6</v>
      </c>
      <c r="M20" s="10">
        <v>6</v>
      </c>
      <c r="N20" s="11">
        <f t="shared" si="1"/>
        <v>72</v>
      </c>
    </row>
    <row r="21" spans="1:14" x14ac:dyDescent="0.35">
      <c r="A21" s="12" t="s">
        <v>32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3000</v>
      </c>
      <c r="H21" s="13">
        <v>3000</v>
      </c>
      <c r="I21" s="13">
        <v>6000</v>
      </c>
      <c r="J21" s="13">
        <v>6000</v>
      </c>
      <c r="K21" s="13">
        <v>6000</v>
      </c>
      <c r="L21" s="13">
        <v>9000</v>
      </c>
      <c r="M21" s="13">
        <v>9000</v>
      </c>
      <c r="N21" s="11">
        <f t="shared" si="1"/>
        <v>42000</v>
      </c>
    </row>
    <row r="22" spans="1:14" x14ac:dyDescent="0.35">
      <c r="A22" s="14" t="s">
        <v>33</v>
      </c>
      <c r="B22" s="15">
        <f t="shared" ref="B22:N22" si="2">SUM(B14:B21)</f>
        <v>11</v>
      </c>
      <c r="C22" s="15">
        <f t="shared" si="2"/>
        <v>16</v>
      </c>
      <c r="D22" s="15">
        <f t="shared" si="2"/>
        <v>68</v>
      </c>
      <c r="E22" s="15">
        <f t="shared" si="2"/>
        <v>73</v>
      </c>
      <c r="F22" s="15">
        <f t="shared" si="2"/>
        <v>103</v>
      </c>
      <c r="G22" s="15">
        <f t="shared" si="2"/>
        <v>3123</v>
      </c>
      <c r="H22" s="15">
        <f t="shared" si="2"/>
        <v>3143</v>
      </c>
      <c r="I22" s="15">
        <f t="shared" si="2"/>
        <v>6158</v>
      </c>
      <c r="J22" s="15">
        <f t="shared" si="2"/>
        <v>6183</v>
      </c>
      <c r="K22" s="15">
        <f t="shared" si="2"/>
        <v>6198</v>
      </c>
      <c r="L22" s="15">
        <f t="shared" si="2"/>
        <v>9218</v>
      </c>
      <c r="M22" s="15">
        <f t="shared" si="2"/>
        <v>9238</v>
      </c>
      <c r="N22" s="15">
        <f t="shared" si="2"/>
        <v>43532</v>
      </c>
    </row>
    <row r="23" spans="1:14" x14ac:dyDescent="0.35">
      <c r="A23" s="16" t="s">
        <v>34</v>
      </c>
      <c r="B23" s="17">
        <f t="shared" ref="B23:N23" si="3">B12-B22</f>
        <v>-11</v>
      </c>
      <c r="C23" s="17">
        <f t="shared" si="3"/>
        <v>-16</v>
      </c>
      <c r="D23" s="17">
        <f t="shared" si="3"/>
        <v>832</v>
      </c>
      <c r="E23" s="17">
        <f t="shared" si="3"/>
        <v>327</v>
      </c>
      <c r="F23" s="17">
        <f t="shared" si="3"/>
        <v>1647</v>
      </c>
      <c r="G23" s="17">
        <f t="shared" si="3"/>
        <v>-1173</v>
      </c>
      <c r="H23" s="17">
        <f t="shared" si="3"/>
        <v>657</v>
      </c>
      <c r="I23" s="17">
        <f t="shared" si="3"/>
        <v>-1708</v>
      </c>
      <c r="J23" s="17">
        <f t="shared" si="3"/>
        <v>-833</v>
      </c>
      <c r="K23" s="17">
        <f t="shared" si="3"/>
        <v>2</v>
      </c>
      <c r="L23" s="17">
        <f t="shared" si="3"/>
        <v>-1368</v>
      </c>
      <c r="M23" s="17">
        <f t="shared" si="3"/>
        <v>-1488</v>
      </c>
      <c r="N23" s="18">
        <f t="shared" si="3"/>
        <v>-3132</v>
      </c>
    </row>
    <row r="24" spans="1:14" x14ac:dyDescent="0.35">
      <c r="A24" s="7" t="s">
        <v>35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35">
      <c r="A25" s="19" t="s">
        <v>36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35">
      <c r="A26" s="9" t="s">
        <v>37</v>
      </c>
      <c r="B26" s="10">
        <v>20</v>
      </c>
      <c r="C26" s="10">
        <v>20</v>
      </c>
      <c r="D26" s="10">
        <v>20</v>
      </c>
      <c r="E26" s="10">
        <v>20</v>
      </c>
      <c r="F26" s="10">
        <v>30</v>
      </c>
      <c r="G26" s="10">
        <v>30</v>
      </c>
      <c r="H26" s="10">
        <v>30</v>
      </c>
      <c r="I26" s="10">
        <v>50</v>
      </c>
      <c r="J26" s="10">
        <v>50</v>
      </c>
      <c r="K26" s="10">
        <v>50</v>
      </c>
      <c r="L26" s="10">
        <v>75</v>
      </c>
      <c r="M26" s="10">
        <v>75</v>
      </c>
      <c r="N26" s="11">
        <f t="shared" ref="N26:N33" si="4">SUM(B26:M26)</f>
        <v>470</v>
      </c>
    </row>
    <row r="27" spans="1:14" x14ac:dyDescent="0.35">
      <c r="A27" s="12" t="s">
        <v>38</v>
      </c>
      <c r="B27" s="13">
        <v>0</v>
      </c>
      <c r="C27" s="13">
        <v>0</v>
      </c>
      <c r="D27" s="13">
        <v>29</v>
      </c>
      <c r="E27" s="13">
        <v>29</v>
      </c>
      <c r="F27" s="13">
        <v>29</v>
      </c>
      <c r="G27" s="13">
        <v>29</v>
      </c>
      <c r="H27" s="13">
        <v>29</v>
      </c>
      <c r="I27" s="13">
        <v>29</v>
      </c>
      <c r="J27" s="13">
        <v>29</v>
      </c>
      <c r="K27" s="13">
        <v>29</v>
      </c>
      <c r="L27" s="13">
        <v>29</v>
      </c>
      <c r="M27" s="13">
        <v>29</v>
      </c>
      <c r="N27" s="11">
        <f t="shared" si="4"/>
        <v>290</v>
      </c>
    </row>
    <row r="28" spans="1:14" x14ac:dyDescent="0.35">
      <c r="A28" s="9" t="s">
        <v>39</v>
      </c>
      <c r="B28" s="10">
        <v>20</v>
      </c>
      <c r="C28" s="10">
        <v>20</v>
      </c>
      <c r="D28" s="10">
        <v>20</v>
      </c>
      <c r="E28" s="10">
        <v>20</v>
      </c>
      <c r="F28" s="10">
        <v>20</v>
      </c>
      <c r="G28" s="10">
        <v>20</v>
      </c>
      <c r="H28" s="10">
        <v>20</v>
      </c>
      <c r="I28" s="10">
        <v>20</v>
      </c>
      <c r="J28" s="10">
        <v>20</v>
      </c>
      <c r="K28" s="10">
        <v>20</v>
      </c>
      <c r="L28" s="10">
        <v>20</v>
      </c>
      <c r="M28" s="10">
        <v>20</v>
      </c>
      <c r="N28" s="11">
        <f t="shared" si="4"/>
        <v>240</v>
      </c>
    </row>
    <row r="29" spans="1:14" x14ac:dyDescent="0.35">
      <c r="A29" s="12" t="s">
        <v>40</v>
      </c>
      <c r="B29" s="13">
        <v>10</v>
      </c>
      <c r="C29" s="13">
        <v>10</v>
      </c>
      <c r="D29" s="13">
        <v>10</v>
      </c>
      <c r="E29" s="13">
        <v>10</v>
      </c>
      <c r="F29" s="13">
        <v>10</v>
      </c>
      <c r="G29" s="13">
        <v>10</v>
      </c>
      <c r="H29" s="13">
        <v>10</v>
      </c>
      <c r="I29" s="13">
        <v>10</v>
      </c>
      <c r="J29" s="13">
        <v>10</v>
      </c>
      <c r="K29" s="13">
        <v>10</v>
      </c>
      <c r="L29" s="13">
        <v>10</v>
      </c>
      <c r="M29" s="13">
        <v>10</v>
      </c>
      <c r="N29" s="11">
        <f t="shared" si="4"/>
        <v>120</v>
      </c>
    </row>
    <row r="30" spans="1:14" x14ac:dyDescent="0.35">
      <c r="A30" s="9" t="s">
        <v>41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1">
        <f t="shared" si="4"/>
        <v>0</v>
      </c>
    </row>
    <row r="31" spans="1:14" x14ac:dyDescent="0.35">
      <c r="A31" s="12" t="s">
        <v>42</v>
      </c>
      <c r="B31" s="13">
        <v>0</v>
      </c>
      <c r="C31" s="13">
        <v>0</v>
      </c>
      <c r="D31" s="13">
        <v>0</v>
      </c>
      <c r="E31" s="13">
        <v>20</v>
      </c>
      <c r="F31" s="13">
        <v>20</v>
      </c>
      <c r="G31" s="13">
        <v>20</v>
      </c>
      <c r="H31" s="13">
        <v>20</v>
      </c>
      <c r="I31" s="13">
        <v>20</v>
      </c>
      <c r="J31" s="13">
        <v>20</v>
      </c>
      <c r="K31" s="13">
        <v>20</v>
      </c>
      <c r="L31" s="13">
        <v>20</v>
      </c>
      <c r="M31" s="13">
        <v>20</v>
      </c>
      <c r="N31" s="11">
        <f t="shared" si="4"/>
        <v>180</v>
      </c>
    </row>
    <row r="32" spans="1:14" x14ac:dyDescent="0.35">
      <c r="A32" s="9" t="s">
        <v>43</v>
      </c>
      <c r="B32" s="10">
        <v>0</v>
      </c>
      <c r="C32" s="10">
        <v>0</v>
      </c>
      <c r="D32" s="10">
        <v>15</v>
      </c>
      <c r="E32" s="10">
        <v>15</v>
      </c>
      <c r="F32" s="10">
        <v>15</v>
      </c>
      <c r="G32" s="10">
        <v>15</v>
      </c>
      <c r="H32" s="10">
        <v>15</v>
      </c>
      <c r="I32" s="10">
        <v>15</v>
      </c>
      <c r="J32" s="10">
        <v>15</v>
      </c>
      <c r="K32" s="10">
        <v>15</v>
      </c>
      <c r="L32" s="10">
        <v>15</v>
      </c>
      <c r="M32" s="10">
        <v>15</v>
      </c>
      <c r="N32" s="11">
        <f t="shared" si="4"/>
        <v>150</v>
      </c>
    </row>
    <row r="33" spans="1:14" x14ac:dyDescent="0.35">
      <c r="A33" s="12" t="s">
        <v>44</v>
      </c>
      <c r="B33" s="13">
        <v>20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20</v>
      </c>
      <c r="N33" s="11">
        <f t="shared" si="4"/>
        <v>40</v>
      </c>
    </row>
    <row r="34" spans="1:14" x14ac:dyDescent="0.35">
      <c r="A34" s="19" t="s">
        <v>45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35">
      <c r="A35" s="9" t="s">
        <v>46</v>
      </c>
      <c r="B35" s="10">
        <v>25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1">
        <f>SUM(B35:M35)</f>
        <v>25</v>
      </c>
    </row>
    <row r="36" spans="1:14" x14ac:dyDescent="0.35">
      <c r="A36" s="12" t="s">
        <v>47</v>
      </c>
      <c r="B36" s="13">
        <v>50</v>
      </c>
      <c r="C36" s="13">
        <v>50</v>
      </c>
      <c r="D36" s="13">
        <v>50</v>
      </c>
      <c r="E36" s="13">
        <v>50</v>
      </c>
      <c r="F36" s="13">
        <v>50</v>
      </c>
      <c r="G36" s="13">
        <v>50</v>
      </c>
      <c r="H36" s="13">
        <v>50</v>
      </c>
      <c r="I36" s="13">
        <v>50</v>
      </c>
      <c r="J36" s="13">
        <v>50</v>
      </c>
      <c r="K36" s="13">
        <v>50</v>
      </c>
      <c r="L36" s="13">
        <v>50</v>
      </c>
      <c r="M36" s="13">
        <v>50</v>
      </c>
      <c r="N36" s="11">
        <f>SUM(B36:M36)</f>
        <v>600</v>
      </c>
    </row>
    <row r="37" spans="1:14" x14ac:dyDescent="0.35">
      <c r="A37" s="9" t="s">
        <v>48</v>
      </c>
      <c r="B37" s="10">
        <v>0</v>
      </c>
      <c r="C37" s="10">
        <v>100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1">
        <f>SUM(B37:M37)</f>
        <v>100</v>
      </c>
    </row>
    <row r="38" spans="1:14" x14ac:dyDescent="0.35">
      <c r="A38" s="12" t="s">
        <v>49</v>
      </c>
      <c r="B38" s="13">
        <v>40</v>
      </c>
      <c r="C38" s="13">
        <v>40</v>
      </c>
      <c r="D38" s="13">
        <v>40</v>
      </c>
      <c r="E38" s="13">
        <v>40</v>
      </c>
      <c r="F38" s="13">
        <v>40</v>
      </c>
      <c r="G38" s="13">
        <v>40</v>
      </c>
      <c r="H38" s="13">
        <v>40</v>
      </c>
      <c r="I38" s="13">
        <v>40</v>
      </c>
      <c r="J38" s="13">
        <v>40</v>
      </c>
      <c r="K38" s="13">
        <v>40</v>
      </c>
      <c r="L38" s="13">
        <v>40</v>
      </c>
      <c r="M38" s="13">
        <v>40</v>
      </c>
      <c r="N38" s="11">
        <f>SUM(B38:M38)</f>
        <v>480</v>
      </c>
    </row>
    <row r="39" spans="1:14" x14ac:dyDescent="0.35">
      <c r="A39" s="9" t="s">
        <v>50</v>
      </c>
      <c r="B39" s="10">
        <v>10</v>
      </c>
      <c r="C39" s="10">
        <v>10</v>
      </c>
      <c r="D39" s="10">
        <v>10</v>
      </c>
      <c r="E39" s="10">
        <v>10</v>
      </c>
      <c r="F39" s="10">
        <v>10</v>
      </c>
      <c r="G39" s="10">
        <v>10</v>
      </c>
      <c r="H39" s="10">
        <v>10</v>
      </c>
      <c r="I39" s="10">
        <v>10</v>
      </c>
      <c r="J39" s="10">
        <v>10</v>
      </c>
      <c r="K39" s="10">
        <v>10</v>
      </c>
      <c r="L39" s="10">
        <v>10</v>
      </c>
      <c r="M39" s="10">
        <v>10</v>
      </c>
      <c r="N39" s="11">
        <f>SUM(B39:M39)</f>
        <v>120</v>
      </c>
    </row>
    <row r="40" spans="1:14" x14ac:dyDescent="0.35">
      <c r="A40" s="19" t="s">
        <v>51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x14ac:dyDescent="0.35">
      <c r="A41" s="12" t="s">
        <v>52</v>
      </c>
      <c r="B41" s="13">
        <v>0</v>
      </c>
      <c r="C41" s="13">
        <v>0</v>
      </c>
      <c r="D41" s="13">
        <v>0</v>
      </c>
      <c r="E41" s="13">
        <v>125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1">
        <f t="shared" ref="N41:N46" si="5">SUM(B41:M41)</f>
        <v>125</v>
      </c>
    </row>
    <row r="42" spans="1:14" x14ac:dyDescent="0.35">
      <c r="A42" s="9" t="s">
        <v>53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138</v>
      </c>
      <c r="N42" s="11">
        <f t="shared" si="5"/>
        <v>138</v>
      </c>
    </row>
    <row r="43" spans="1:14" x14ac:dyDescent="0.35">
      <c r="A43" s="12" t="s">
        <v>54</v>
      </c>
      <c r="B43" s="13">
        <v>0</v>
      </c>
      <c r="C43" s="13">
        <v>0</v>
      </c>
      <c r="D43" s="13">
        <v>0</v>
      </c>
      <c r="E43" s="13">
        <v>75</v>
      </c>
      <c r="F43" s="13">
        <v>75</v>
      </c>
      <c r="G43" s="13">
        <v>75</v>
      </c>
      <c r="H43" s="13">
        <v>75</v>
      </c>
      <c r="I43" s="13">
        <v>75</v>
      </c>
      <c r="J43" s="13">
        <v>75</v>
      </c>
      <c r="K43" s="13">
        <v>75</v>
      </c>
      <c r="L43" s="13">
        <v>75</v>
      </c>
      <c r="M43" s="13">
        <v>75</v>
      </c>
      <c r="N43" s="11">
        <f t="shared" si="5"/>
        <v>675</v>
      </c>
    </row>
    <row r="44" spans="1:14" x14ac:dyDescent="0.35">
      <c r="A44" s="9" t="s">
        <v>55</v>
      </c>
      <c r="B44" s="10">
        <v>0</v>
      </c>
      <c r="C44" s="10">
        <v>0</v>
      </c>
      <c r="D44" s="10">
        <v>0</v>
      </c>
      <c r="E44" s="10">
        <v>150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1">
        <f t="shared" si="5"/>
        <v>150</v>
      </c>
    </row>
    <row r="45" spans="1:14" x14ac:dyDescent="0.35">
      <c r="A45" s="12" t="s">
        <v>56</v>
      </c>
      <c r="B45" s="13">
        <v>0</v>
      </c>
      <c r="C45" s="13">
        <v>0</v>
      </c>
      <c r="D45" s="13">
        <v>0</v>
      </c>
      <c r="E45" s="13">
        <v>0</v>
      </c>
      <c r="F45" s="13">
        <v>15</v>
      </c>
      <c r="G45" s="13">
        <v>15</v>
      </c>
      <c r="H45" s="13">
        <v>15</v>
      </c>
      <c r="I45" s="13">
        <v>15</v>
      </c>
      <c r="J45" s="13">
        <v>15</v>
      </c>
      <c r="K45" s="13">
        <v>15</v>
      </c>
      <c r="L45" s="13">
        <v>15</v>
      </c>
      <c r="M45" s="13">
        <v>15</v>
      </c>
      <c r="N45" s="11">
        <f t="shared" si="5"/>
        <v>120</v>
      </c>
    </row>
    <row r="46" spans="1:14" x14ac:dyDescent="0.35">
      <c r="A46" s="9" t="s">
        <v>57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200</v>
      </c>
      <c r="J46" s="10">
        <v>0</v>
      </c>
      <c r="K46" s="10">
        <v>0</v>
      </c>
      <c r="L46" s="10">
        <v>0</v>
      </c>
      <c r="M46" s="10">
        <v>250</v>
      </c>
      <c r="N46" s="11">
        <f t="shared" si="5"/>
        <v>450</v>
      </c>
    </row>
    <row r="47" spans="1:14" x14ac:dyDescent="0.35">
      <c r="A47" s="19" t="s">
        <v>58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x14ac:dyDescent="0.35">
      <c r="A48" s="12" t="s">
        <v>59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1000</v>
      </c>
      <c r="I48" s="13">
        <v>1000</v>
      </c>
      <c r="J48" s="13">
        <v>1500</v>
      </c>
      <c r="K48" s="13">
        <v>1500</v>
      </c>
      <c r="L48" s="13">
        <v>2000</v>
      </c>
      <c r="M48" s="13">
        <v>2000</v>
      </c>
      <c r="N48" s="11">
        <f>SUM(B48:M48)</f>
        <v>9000</v>
      </c>
    </row>
    <row r="49" spans="1:14" x14ac:dyDescent="0.35">
      <c r="A49" s="9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300</v>
      </c>
      <c r="H49" s="10">
        <v>300</v>
      </c>
      <c r="I49" s="10">
        <v>300</v>
      </c>
      <c r="J49" s="10">
        <v>300</v>
      </c>
      <c r="K49" s="10">
        <v>300</v>
      </c>
      <c r="L49" s="10">
        <v>300</v>
      </c>
      <c r="M49" s="10">
        <v>300</v>
      </c>
      <c r="N49" s="11">
        <f>SUM(B49:M49)</f>
        <v>2100</v>
      </c>
    </row>
    <row r="50" spans="1:14" x14ac:dyDescent="0.35">
      <c r="A50" s="19" t="s">
        <v>61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x14ac:dyDescent="0.35">
      <c r="A51" s="12" t="s">
        <v>62</v>
      </c>
      <c r="B51" s="13">
        <v>45</v>
      </c>
      <c r="C51" s="13">
        <v>45</v>
      </c>
      <c r="D51" s="13">
        <v>45</v>
      </c>
      <c r="E51" s="13">
        <v>45</v>
      </c>
      <c r="F51" s="13">
        <v>45</v>
      </c>
      <c r="G51" s="13">
        <v>45</v>
      </c>
      <c r="H51" s="13">
        <v>45</v>
      </c>
      <c r="I51" s="13">
        <v>45</v>
      </c>
      <c r="J51" s="13">
        <v>45</v>
      </c>
      <c r="K51" s="13">
        <v>45</v>
      </c>
      <c r="L51" s="13">
        <v>45</v>
      </c>
      <c r="M51" s="13">
        <v>45</v>
      </c>
      <c r="N51" s="11">
        <f>SUM(B51:M51)</f>
        <v>540</v>
      </c>
    </row>
    <row r="52" spans="1:14" x14ac:dyDescent="0.35">
      <c r="A52" s="9" t="s">
        <v>63</v>
      </c>
      <c r="B52" s="10">
        <v>30</v>
      </c>
      <c r="C52" s="10">
        <v>30</v>
      </c>
      <c r="D52" s="10">
        <v>40</v>
      </c>
      <c r="E52" s="10">
        <v>40</v>
      </c>
      <c r="F52" s="10">
        <v>50</v>
      </c>
      <c r="G52" s="10">
        <v>50</v>
      </c>
      <c r="H52" s="10">
        <v>60</v>
      </c>
      <c r="I52" s="10">
        <v>60</v>
      </c>
      <c r="J52" s="10">
        <v>60</v>
      </c>
      <c r="K52" s="10">
        <v>60</v>
      </c>
      <c r="L52" s="10">
        <v>60</v>
      </c>
      <c r="M52" s="10">
        <v>60</v>
      </c>
      <c r="N52" s="11">
        <f>SUM(B52:M52)</f>
        <v>600</v>
      </c>
    </row>
    <row r="53" spans="1:14" x14ac:dyDescent="0.35">
      <c r="A53" s="12" t="s">
        <v>64</v>
      </c>
      <c r="B53" s="13">
        <v>0</v>
      </c>
      <c r="C53" s="13">
        <v>0</v>
      </c>
      <c r="D53" s="13">
        <v>100</v>
      </c>
      <c r="E53" s="13">
        <v>0</v>
      </c>
      <c r="F53" s="13">
        <v>0</v>
      </c>
      <c r="G53" s="13">
        <v>100</v>
      </c>
      <c r="H53" s="13">
        <v>0</v>
      </c>
      <c r="I53" s="13">
        <v>0</v>
      </c>
      <c r="J53" s="13">
        <v>100</v>
      </c>
      <c r="K53" s="13">
        <v>0</v>
      </c>
      <c r="L53" s="13">
        <v>0</v>
      </c>
      <c r="M53" s="13">
        <v>100</v>
      </c>
      <c r="N53" s="11">
        <f>SUM(B53:M53)</f>
        <v>400</v>
      </c>
    </row>
    <row r="54" spans="1:14" x14ac:dyDescent="0.35">
      <c r="A54" s="9" t="s">
        <v>65</v>
      </c>
      <c r="B54" s="10">
        <v>50</v>
      </c>
      <c r="C54" s="10">
        <v>50</v>
      </c>
      <c r="D54" s="10">
        <v>50</v>
      </c>
      <c r="E54" s="10">
        <v>50</v>
      </c>
      <c r="F54" s="10">
        <v>50</v>
      </c>
      <c r="G54" s="10">
        <v>50</v>
      </c>
      <c r="H54" s="10">
        <v>50</v>
      </c>
      <c r="I54" s="10">
        <v>50</v>
      </c>
      <c r="J54" s="10">
        <v>50</v>
      </c>
      <c r="K54" s="10">
        <v>50</v>
      </c>
      <c r="L54" s="10">
        <v>50</v>
      </c>
      <c r="M54" s="10">
        <v>50</v>
      </c>
      <c r="N54" s="11">
        <f>SUM(B54:M54)</f>
        <v>600</v>
      </c>
    </row>
    <row r="55" spans="1:14" x14ac:dyDescent="0.35">
      <c r="A55" s="14" t="s">
        <v>66</v>
      </c>
      <c r="B55" s="15">
        <f t="shared" ref="B55:N55" si="6">B26+B27+B28+B29+B30+B31+B32+B33+B35+B36+B37+B38+B39+B41+B42+B43+B44+B45+B46+B48+B49+B51+B52+B53+B54</f>
        <v>320</v>
      </c>
      <c r="C55" s="15">
        <f t="shared" si="6"/>
        <v>375</v>
      </c>
      <c r="D55" s="15">
        <f t="shared" si="6"/>
        <v>429</v>
      </c>
      <c r="E55" s="15">
        <f t="shared" si="6"/>
        <v>699</v>
      </c>
      <c r="F55" s="15">
        <f t="shared" si="6"/>
        <v>459</v>
      </c>
      <c r="G55" s="15">
        <f t="shared" si="6"/>
        <v>859</v>
      </c>
      <c r="H55" s="15">
        <f t="shared" si="6"/>
        <v>1769</v>
      </c>
      <c r="I55" s="15">
        <f t="shared" si="6"/>
        <v>1989</v>
      </c>
      <c r="J55" s="15">
        <f t="shared" si="6"/>
        <v>2389</v>
      </c>
      <c r="K55" s="15">
        <f t="shared" si="6"/>
        <v>2289</v>
      </c>
      <c r="L55" s="15">
        <f t="shared" si="6"/>
        <v>2814</v>
      </c>
      <c r="M55" s="15">
        <f t="shared" si="6"/>
        <v>3322</v>
      </c>
      <c r="N55" s="15">
        <f t="shared" si="6"/>
        <v>17713</v>
      </c>
    </row>
    <row r="56" spans="1:14" x14ac:dyDescent="0.35">
      <c r="A56" s="20" t="s">
        <v>67</v>
      </c>
      <c r="B56" s="21">
        <f t="shared" ref="B56:N56" si="7">B23-B55</f>
        <v>-331</v>
      </c>
      <c r="C56" s="21">
        <f t="shared" si="7"/>
        <v>-391</v>
      </c>
      <c r="D56" s="21">
        <f t="shared" si="7"/>
        <v>403</v>
      </c>
      <c r="E56" s="21">
        <f t="shared" si="7"/>
        <v>-372</v>
      </c>
      <c r="F56" s="21">
        <f t="shared" si="7"/>
        <v>1188</v>
      </c>
      <c r="G56" s="21">
        <f t="shared" si="7"/>
        <v>-2032</v>
      </c>
      <c r="H56" s="21">
        <f t="shared" si="7"/>
        <v>-1112</v>
      </c>
      <c r="I56" s="21">
        <f t="shared" si="7"/>
        <v>-3697</v>
      </c>
      <c r="J56" s="21">
        <f t="shared" si="7"/>
        <v>-3222</v>
      </c>
      <c r="K56" s="21">
        <f t="shared" si="7"/>
        <v>-2287</v>
      </c>
      <c r="L56" s="21">
        <f t="shared" si="7"/>
        <v>-4182</v>
      </c>
      <c r="M56" s="21">
        <f t="shared" si="7"/>
        <v>-4810</v>
      </c>
      <c r="N56" s="21">
        <f t="shared" si="7"/>
        <v>-20845</v>
      </c>
    </row>
    <row r="57" spans="1:14" x14ac:dyDescent="0.35">
      <c r="A57" s="22" t="s">
        <v>68</v>
      </c>
      <c r="B57" s="23" t="str">
        <f t="shared" ref="B57:N57" si="8">IF(B12=0,"-",B56/B12)</f>
        <v>-</v>
      </c>
      <c r="C57" s="23" t="str">
        <f t="shared" si="8"/>
        <v>-</v>
      </c>
      <c r="D57" s="23">
        <f t="shared" si="8"/>
        <v>0.44777777777777777</v>
      </c>
      <c r="E57" s="23">
        <f t="shared" si="8"/>
        <v>-0.93</v>
      </c>
      <c r="F57" s="23">
        <f t="shared" si="8"/>
        <v>0.67885714285714283</v>
      </c>
      <c r="G57" s="23">
        <f t="shared" si="8"/>
        <v>-1.0420512820512819</v>
      </c>
      <c r="H57" s="23">
        <f t="shared" si="8"/>
        <v>-0.29263157894736841</v>
      </c>
      <c r="I57" s="23">
        <f t="shared" si="8"/>
        <v>-0.83078651685393257</v>
      </c>
      <c r="J57" s="23">
        <f t="shared" si="8"/>
        <v>-0.60224299065420561</v>
      </c>
      <c r="K57" s="23">
        <f t="shared" si="8"/>
        <v>-0.36887096774193551</v>
      </c>
      <c r="L57" s="23">
        <f t="shared" si="8"/>
        <v>-0.53273885350318473</v>
      </c>
      <c r="M57" s="23">
        <f t="shared" si="8"/>
        <v>-0.62064516129032254</v>
      </c>
      <c r="N57" s="24">
        <f t="shared" si="8"/>
        <v>-0.51596534653465342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55" customWidth="1"/>
    <col min="3" max="3" width="18" customWidth="1"/>
    <col min="4" max="4" width="22" customWidth="1"/>
  </cols>
  <sheetData>
    <row r="1" spans="1:4" ht="18" x14ac:dyDescent="0.35">
      <c r="A1" s="25" t="s">
        <v>69</v>
      </c>
    </row>
    <row r="2" spans="1:4" x14ac:dyDescent="0.35">
      <c r="A2" s="3" t="s">
        <v>70</v>
      </c>
    </row>
    <row r="4" spans="1:4" x14ac:dyDescent="0.35">
      <c r="A4" s="26" t="s">
        <v>71</v>
      </c>
      <c r="B4" s="26" t="s">
        <v>72</v>
      </c>
      <c r="C4" s="26" t="s">
        <v>73</v>
      </c>
      <c r="D4" s="26" t="s">
        <v>74</v>
      </c>
    </row>
    <row r="5" spans="1:4" ht="31.5" customHeight="1" x14ac:dyDescent="0.35">
      <c r="A5" s="27" t="s">
        <v>75</v>
      </c>
      <c r="B5" s="28" t="s">
        <v>76</v>
      </c>
      <c r="C5" s="29" t="s">
        <v>77</v>
      </c>
      <c r="D5" s="30" t="s">
        <v>78</v>
      </c>
    </row>
    <row r="6" spans="1:4" ht="31.5" customHeight="1" x14ac:dyDescent="0.35">
      <c r="A6" s="31" t="s">
        <v>79</v>
      </c>
      <c r="B6" s="32" t="s">
        <v>80</v>
      </c>
      <c r="C6" s="33" t="s">
        <v>81</v>
      </c>
      <c r="D6" s="34" t="s">
        <v>82</v>
      </c>
    </row>
    <row r="7" spans="1:4" ht="31.5" customHeight="1" x14ac:dyDescent="0.35">
      <c r="A7" s="27" t="s">
        <v>83</v>
      </c>
      <c r="B7" s="28" t="s">
        <v>84</v>
      </c>
      <c r="C7" s="29" t="s">
        <v>85</v>
      </c>
      <c r="D7" s="30" t="s">
        <v>86</v>
      </c>
    </row>
    <row r="8" spans="1:4" ht="31.5" customHeight="1" x14ac:dyDescent="0.35">
      <c r="A8" s="31" t="s">
        <v>87</v>
      </c>
      <c r="B8" s="32" t="s">
        <v>88</v>
      </c>
      <c r="C8" s="33" t="s">
        <v>85</v>
      </c>
      <c r="D8" s="34" t="s">
        <v>89</v>
      </c>
    </row>
    <row r="9" spans="1:4" ht="31.5" customHeight="1" x14ac:dyDescent="0.35">
      <c r="A9" s="27" t="s">
        <v>90</v>
      </c>
      <c r="B9" s="28" t="s">
        <v>91</v>
      </c>
      <c r="C9" s="29" t="s">
        <v>92</v>
      </c>
      <c r="D9" s="30" t="s">
        <v>93</v>
      </c>
    </row>
    <row r="10" spans="1:4" ht="31.5" customHeight="1" x14ac:dyDescent="0.35">
      <c r="A10" s="31" t="s">
        <v>94</v>
      </c>
      <c r="B10" s="32" t="s">
        <v>95</v>
      </c>
      <c r="C10" s="33" t="s">
        <v>96</v>
      </c>
      <c r="D10" s="34" t="s">
        <v>97</v>
      </c>
    </row>
    <row r="11" spans="1:4" ht="31.5" customHeight="1" x14ac:dyDescent="0.35">
      <c r="A11" s="27" t="s">
        <v>98</v>
      </c>
      <c r="B11" s="28" t="s">
        <v>99</v>
      </c>
      <c r="C11" s="29" t="s">
        <v>100</v>
      </c>
      <c r="D11" s="30" t="s">
        <v>101</v>
      </c>
    </row>
    <row r="12" spans="1:4" ht="31.5" customHeight="1" x14ac:dyDescent="0.35">
      <c r="A12" s="31" t="s">
        <v>102</v>
      </c>
      <c r="B12" s="32" t="s">
        <v>103</v>
      </c>
      <c r="C12" s="33" t="s">
        <v>104</v>
      </c>
      <c r="D12" s="34" t="s">
        <v>105</v>
      </c>
    </row>
    <row r="13" spans="1:4" ht="31.5" customHeight="1" x14ac:dyDescent="0.35">
      <c r="A13" s="27" t="s">
        <v>106</v>
      </c>
      <c r="B13" s="28" t="s">
        <v>107</v>
      </c>
      <c r="C13" s="29" t="s">
        <v>108</v>
      </c>
      <c r="D13" s="30" t="s">
        <v>109</v>
      </c>
    </row>
    <row r="14" spans="1:4" ht="31.5" customHeight="1" x14ac:dyDescent="0.35">
      <c r="A14" s="31" t="s">
        <v>110</v>
      </c>
      <c r="B14" s="32" t="s">
        <v>111</v>
      </c>
      <c r="C14" s="33" t="s">
        <v>112</v>
      </c>
      <c r="D14" s="34" t="s">
        <v>113</v>
      </c>
    </row>
    <row r="15" spans="1:4" ht="31.5" customHeight="1" x14ac:dyDescent="0.35">
      <c r="A15" s="27" t="s">
        <v>114</v>
      </c>
      <c r="B15" s="28" t="s">
        <v>115</v>
      </c>
      <c r="C15" s="29" t="s">
        <v>116</v>
      </c>
      <c r="D15" s="30" t="s">
        <v>117</v>
      </c>
    </row>
    <row r="16" spans="1:4" ht="31.5" customHeight="1" x14ac:dyDescent="0.35">
      <c r="A16" s="31" t="s">
        <v>118</v>
      </c>
      <c r="B16" s="32" t="s">
        <v>119</v>
      </c>
      <c r="C16" s="33" t="s">
        <v>96</v>
      </c>
      <c r="D16" s="34" t="s">
        <v>120</v>
      </c>
    </row>
    <row r="17" spans="1:4" ht="31.5" customHeight="1" x14ac:dyDescent="0.35">
      <c r="A17" s="27" t="s">
        <v>121</v>
      </c>
      <c r="B17" s="28" t="s">
        <v>122</v>
      </c>
      <c r="C17" s="29" t="s">
        <v>123</v>
      </c>
      <c r="D17" s="30" t="s">
        <v>124</v>
      </c>
    </row>
    <row r="18" spans="1:4" ht="31.5" customHeight="1" x14ac:dyDescent="0.35">
      <c r="A18" s="31" t="s">
        <v>125</v>
      </c>
      <c r="B18" s="32" t="s">
        <v>126</v>
      </c>
      <c r="C18" s="33" t="s">
        <v>127</v>
      </c>
      <c r="D18" s="34" t="s">
        <v>128</v>
      </c>
    </row>
    <row r="19" spans="1:4" ht="31.5" customHeight="1" x14ac:dyDescent="0.35">
      <c r="A19" s="27" t="s">
        <v>49</v>
      </c>
      <c r="B19" s="28" t="s">
        <v>129</v>
      </c>
      <c r="C19" s="29" t="s">
        <v>130</v>
      </c>
      <c r="D19" s="30" t="s">
        <v>131</v>
      </c>
    </row>
    <row r="20" spans="1:4" ht="31.5" customHeight="1" x14ac:dyDescent="0.35">
      <c r="A20" s="31" t="s">
        <v>132</v>
      </c>
      <c r="B20" s="32" t="s">
        <v>133</v>
      </c>
      <c r="C20" s="33" t="s">
        <v>134</v>
      </c>
      <c r="D20" s="34" t="s">
        <v>135</v>
      </c>
    </row>
    <row r="21" spans="1:4" ht="31.5" customHeight="1" x14ac:dyDescent="0.35">
      <c r="A21" s="27" t="s">
        <v>136</v>
      </c>
      <c r="B21" s="28" t="s">
        <v>137</v>
      </c>
      <c r="C21" s="29" t="s">
        <v>138</v>
      </c>
      <c r="D21" s="30" t="s">
        <v>139</v>
      </c>
    </row>
    <row r="22" spans="1:4" ht="31.5" customHeight="1" x14ac:dyDescent="0.35">
      <c r="A22" s="31" t="s">
        <v>140</v>
      </c>
      <c r="B22" s="32" t="s">
        <v>141</v>
      </c>
      <c r="C22" s="33" t="s">
        <v>142</v>
      </c>
      <c r="D22" s="34" t="s">
        <v>143</v>
      </c>
    </row>
    <row r="23" spans="1:4" ht="31.5" customHeight="1" x14ac:dyDescent="0.35">
      <c r="A23" s="27" t="s">
        <v>144</v>
      </c>
      <c r="B23" s="28" t="s">
        <v>145</v>
      </c>
      <c r="C23" s="29" t="s">
        <v>146</v>
      </c>
      <c r="D23" s="30" t="s">
        <v>147</v>
      </c>
    </row>
    <row r="24" spans="1:4" ht="31.5" customHeight="1" x14ac:dyDescent="0.35">
      <c r="A24" s="31" t="s">
        <v>148</v>
      </c>
      <c r="B24" s="32" t="s">
        <v>149</v>
      </c>
      <c r="C24" s="33" t="s">
        <v>123</v>
      </c>
      <c r="D24" s="34" t="s">
        <v>150</v>
      </c>
    </row>
    <row r="25" spans="1:4" ht="31.5" customHeight="1" x14ac:dyDescent="0.35">
      <c r="A25" s="27" t="s">
        <v>151</v>
      </c>
      <c r="B25" s="28" t="s">
        <v>152</v>
      </c>
      <c r="C25" s="29" t="s">
        <v>153</v>
      </c>
      <c r="D25" s="30" t="s">
        <v>154</v>
      </c>
    </row>
    <row r="26" spans="1:4" ht="31.5" customHeight="1" x14ac:dyDescent="0.35">
      <c r="A26" s="31" t="s">
        <v>155</v>
      </c>
      <c r="B26" s="32" t="s">
        <v>156</v>
      </c>
      <c r="C26" s="33" t="s">
        <v>157</v>
      </c>
      <c r="D26" s="34" t="s">
        <v>158</v>
      </c>
    </row>
    <row r="27" spans="1:4" ht="31.5" customHeight="1" x14ac:dyDescent="0.35">
      <c r="A27" s="27" t="s">
        <v>159</v>
      </c>
      <c r="B27" s="28" t="s">
        <v>160</v>
      </c>
      <c r="C27" s="29" t="s">
        <v>161</v>
      </c>
      <c r="D27" s="30" t="s">
        <v>154</v>
      </c>
    </row>
    <row r="28" spans="1:4" ht="31.5" customHeight="1" x14ac:dyDescent="0.35">
      <c r="A28" s="31" t="s">
        <v>162</v>
      </c>
      <c r="B28" s="32" t="s">
        <v>163</v>
      </c>
      <c r="C28" s="33" t="s">
        <v>164</v>
      </c>
      <c r="D28" s="34" t="s">
        <v>165</v>
      </c>
    </row>
    <row r="29" spans="1:4" ht="31.5" customHeight="1" x14ac:dyDescent="0.35">
      <c r="A29" s="27" t="s">
        <v>166</v>
      </c>
      <c r="B29" s="28" t="s">
        <v>167</v>
      </c>
      <c r="C29" s="29" t="s">
        <v>168</v>
      </c>
      <c r="D29" s="30" t="s">
        <v>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28" customWidth="1"/>
    <col min="2" max="13" width="11" customWidth="1"/>
    <col min="14" max="14" width="13" customWidth="1"/>
  </cols>
  <sheetData>
    <row r="1" spans="1:14" ht="18" x14ac:dyDescent="0.35">
      <c r="A1" s="25" t="s">
        <v>169</v>
      </c>
    </row>
    <row r="2" spans="1:14" x14ac:dyDescent="0.35">
      <c r="A2" s="3" t="s">
        <v>170</v>
      </c>
    </row>
    <row r="4" spans="1:14" x14ac:dyDescent="0.35">
      <c r="A4" s="4" t="s">
        <v>171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6" t="s">
        <v>172</v>
      </c>
    </row>
    <row r="5" spans="1:14" x14ac:dyDescent="0.35">
      <c r="A5" s="9" t="s">
        <v>173</v>
      </c>
      <c r="B5" s="35">
        <v>0</v>
      </c>
      <c r="C5" s="35">
        <v>0</v>
      </c>
      <c r="D5" s="35">
        <v>1</v>
      </c>
      <c r="E5" s="35">
        <v>1</v>
      </c>
      <c r="F5" s="35">
        <v>1</v>
      </c>
      <c r="G5" s="35">
        <v>2</v>
      </c>
      <c r="H5" s="35">
        <v>2</v>
      </c>
      <c r="I5" s="35">
        <v>2</v>
      </c>
      <c r="J5" s="35">
        <v>3</v>
      </c>
      <c r="K5" s="35">
        <v>3</v>
      </c>
      <c r="L5" s="35">
        <v>3</v>
      </c>
      <c r="M5" s="35">
        <v>4</v>
      </c>
      <c r="N5" s="36">
        <f>M5</f>
        <v>4</v>
      </c>
    </row>
    <row r="6" spans="1:14" x14ac:dyDescent="0.35">
      <c r="A6" s="12" t="s">
        <v>174</v>
      </c>
      <c r="B6" s="37">
        <v>0</v>
      </c>
      <c r="C6" s="37">
        <v>0</v>
      </c>
      <c r="D6" s="37">
        <v>0</v>
      </c>
      <c r="E6" s="37">
        <v>0</v>
      </c>
      <c r="F6" s="37">
        <v>1</v>
      </c>
      <c r="G6" s="37">
        <v>1</v>
      </c>
      <c r="H6" s="37">
        <v>1</v>
      </c>
      <c r="I6" s="37">
        <v>2</v>
      </c>
      <c r="J6" s="37">
        <v>2</v>
      </c>
      <c r="K6" s="37">
        <v>2</v>
      </c>
      <c r="L6" s="37">
        <v>3</v>
      </c>
      <c r="M6" s="37">
        <v>3</v>
      </c>
      <c r="N6" s="38">
        <f>M6</f>
        <v>3</v>
      </c>
    </row>
    <row r="7" spans="1:14" x14ac:dyDescent="0.35">
      <c r="A7" s="9" t="s">
        <v>175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1</v>
      </c>
      <c r="I7" s="35">
        <v>1</v>
      </c>
      <c r="J7" s="35">
        <v>1</v>
      </c>
      <c r="K7" s="35">
        <v>2</v>
      </c>
      <c r="L7" s="35">
        <v>2</v>
      </c>
      <c r="M7" s="35">
        <v>2</v>
      </c>
      <c r="N7" s="36">
        <f>M7</f>
        <v>2</v>
      </c>
    </row>
    <row r="8" spans="1:14" x14ac:dyDescent="0.35">
      <c r="A8" s="12" t="s">
        <v>176</v>
      </c>
      <c r="B8" s="39">
        <f t="shared" ref="B8:M8" si="0">SUM(B5:B7)</f>
        <v>0</v>
      </c>
      <c r="C8" s="39">
        <f t="shared" si="0"/>
        <v>0</v>
      </c>
      <c r="D8" s="39">
        <f t="shared" si="0"/>
        <v>1</v>
      </c>
      <c r="E8" s="39">
        <f t="shared" si="0"/>
        <v>1</v>
      </c>
      <c r="F8" s="39">
        <f t="shared" si="0"/>
        <v>2</v>
      </c>
      <c r="G8" s="39">
        <f t="shared" si="0"/>
        <v>3</v>
      </c>
      <c r="H8" s="39">
        <f t="shared" si="0"/>
        <v>4</v>
      </c>
      <c r="I8" s="39">
        <f t="shared" si="0"/>
        <v>5</v>
      </c>
      <c r="J8" s="39">
        <f t="shared" si="0"/>
        <v>6</v>
      </c>
      <c r="K8" s="39">
        <f t="shared" si="0"/>
        <v>7</v>
      </c>
      <c r="L8" s="39">
        <f t="shared" si="0"/>
        <v>8</v>
      </c>
      <c r="M8" s="39">
        <f t="shared" si="0"/>
        <v>9</v>
      </c>
      <c r="N8" s="38"/>
    </row>
    <row r="9" spans="1:14" x14ac:dyDescent="0.35">
      <c r="A9" s="9" t="s">
        <v>177</v>
      </c>
      <c r="B9" s="40">
        <v>0</v>
      </c>
      <c r="C9" s="40">
        <v>0</v>
      </c>
      <c r="D9" s="40">
        <v>400</v>
      </c>
      <c r="E9" s="40">
        <v>400</v>
      </c>
      <c r="F9" s="40">
        <v>567</v>
      </c>
      <c r="G9" s="40">
        <v>517</v>
      </c>
      <c r="H9" s="40">
        <v>717</v>
      </c>
      <c r="I9" s="40">
        <v>683</v>
      </c>
      <c r="J9" s="40">
        <v>733</v>
      </c>
      <c r="K9" s="40">
        <v>767</v>
      </c>
      <c r="L9" s="40">
        <v>867</v>
      </c>
      <c r="M9" s="40">
        <v>867</v>
      </c>
      <c r="N9" s="36"/>
    </row>
    <row r="10" spans="1:14" x14ac:dyDescent="0.35">
      <c r="A10" s="12" t="s">
        <v>178</v>
      </c>
      <c r="B10" s="38">
        <f t="shared" ref="B10:M10" si="1">B8*B9</f>
        <v>0</v>
      </c>
      <c r="C10" s="38">
        <f t="shared" si="1"/>
        <v>0</v>
      </c>
      <c r="D10" s="38">
        <f t="shared" si="1"/>
        <v>400</v>
      </c>
      <c r="E10" s="38">
        <f t="shared" si="1"/>
        <v>400</v>
      </c>
      <c r="F10" s="38">
        <f t="shared" si="1"/>
        <v>1134</v>
      </c>
      <c r="G10" s="38">
        <f t="shared" si="1"/>
        <v>1551</v>
      </c>
      <c r="H10" s="38">
        <f t="shared" si="1"/>
        <v>2868</v>
      </c>
      <c r="I10" s="38">
        <f t="shared" si="1"/>
        <v>3415</v>
      </c>
      <c r="J10" s="38">
        <f t="shared" si="1"/>
        <v>4398</v>
      </c>
      <c r="K10" s="38">
        <f t="shared" si="1"/>
        <v>5369</v>
      </c>
      <c r="L10" s="38">
        <f t="shared" si="1"/>
        <v>6936</v>
      </c>
      <c r="M10" s="38">
        <f t="shared" si="1"/>
        <v>7803</v>
      </c>
      <c r="N10" s="38">
        <f>SUM(B10:M10)</f>
        <v>34274</v>
      </c>
    </row>
    <row r="11" spans="1:14" x14ac:dyDescent="0.35">
      <c r="A11" s="9" t="s">
        <v>179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6"/>
    </row>
    <row r="12" spans="1:14" x14ac:dyDescent="0.35">
      <c r="A12" s="12" t="s">
        <v>180</v>
      </c>
      <c r="B12" s="38">
        <f>B10</f>
        <v>0</v>
      </c>
      <c r="C12" s="38">
        <f t="shared" ref="C12:M12" si="2">C10-B10</f>
        <v>0</v>
      </c>
      <c r="D12" s="38">
        <f t="shared" si="2"/>
        <v>400</v>
      </c>
      <c r="E12" s="38">
        <f t="shared" si="2"/>
        <v>0</v>
      </c>
      <c r="F12" s="38">
        <f t="shared" si="2"/>
        <v>734</v>
      </c>
      <c r="G12" s="38">
        <f t="shared" si="2"/>
        <v>417</v>
      </c>
      <c r="H12" s="38">
        <f t="shared" si="2"/>
        <v>1317</v>
      </c>
      <c r="I12" s="38">
        <f t="shared" si="2"/>
        <v>547</v>
      </c>
      <c r="J12" s="38">
        <f t="shared" si="2"/>
        <v>983</v>
      </c>
      <c r="K12" s="38">
        <f t="shared" si="2"/>
        <v>971</v>
      </c>
      <c r="L12" s="38">
        <f t="shared" si="2"/>
        <v>1567</v>
      </c>
      <c r="M12" s="38">
        <f t="shared" si="2"/>
        <v>867</v>
      </c>
      <c r="N12" s="38">
        <f>SUM(B12:M12)</f>
        <v>7803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 Summary</vt:lpstr>
      <vt:lpstr>Expense Notes &amp; Assumptions</vt:lpstr>
      <vt:lpstr>Revenue Ramp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Corwin von Thaden</cp:lastModifiedBy>
  <cp:revision>0</cp:revision>
  <dcterms:created xsi:type="dcterms:W3CDTF">2026-04-01T00:51:43Z</dcterms:created>
  <dcterms:modified xsi:type="dcterms:W3CDTF">2026-04-01T01:01:17Z</dcterms:modified>
  <dc:language>en-US</dc:language>
</cp:coreProperties>
</file>